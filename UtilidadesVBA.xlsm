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Nube\OneDrive\Documentos\Referencia y herramientas\GitHub\UtilidadesVBA\"/>
    </mc:Choice>
  </mc:AlternateContent>
  <xr:revisionPtr revIDLastSave="1607" documentId="8_{E484757A-95CC-4726-B44D-278B1391EC07}" xr6:coauthVersionLast="40" xr6:coauthVersionMax="40" xr10:uidLastSave="{BB6D40AB-0B76-443A-B782-F8B64D0AC986}"/>
  <bookViews>
    <workbookView xWindow="0" yWindow="0" windowWidth="28800" windowHeight="11265" activeTab="2" xr2:uid="{2F365031-4BE0-49FE-A9B6-80E695BA856C}"/>
  </bookViews>
  <sheets>
    <sheet name="Portada" sheetId="38" r:id="rId1"/>
    <sheet name="Parametros" sheetId="42" r:id="rId2"/>
    <sheet name="Bitacora" sheetId="39" r:id="rId3"/>
    <sheet name="Listados" sheetId="40" r:id="rId4"/>
    <sheet name="Blanco" sheetId="41" r:id="rId5"/>
  </sheets>
  <definedNames>
    <definedName name="LI_Conce_Indic">TablaConceptoIndicadores[Concepto]</definedName>
    <definedName name="LI_Denom_Conv">TablaConvDenominacion[Conversión]</definedName>
    <definedName name="LI_Descrip_Conv">TablaConvDenominacion[Descripción]</definedName>
    <definedName name="LI_Dias_En_Ano">Listados!$E$107</definedName>
    <definedName name="LI_Fact_Conv">TablaConvDenominacion[Factor conversión]</definedName>
    <definedName name="LI_Gen_Accion_Desarrollo" localSheetId="1">TablaAccionDesarrollo[Acción]</definedName>
    <definedName name="LI_Gen_Accion_Desarrollo">TablaAccionDesarrollo[Acción]</definedName>
    <definedName name="LI_Gen_Estado" localSheetId="1">TablaEstado[Estado]</definedName>
    <definedName name="LI_Gen_Estado">TablaEstado[Estado]</definedName>
    <definedName name="LI_Gen_Tipo_Version" localSheetId="1">TablaTipoVersion[Tipo de versión]</definedName>
    <definedName name="LI_Gen_Tipo_Version">TablaTipoVersion[Tipo de versión]</definedName>
    <definedName name="LI_Meses_En_Ano">Listados!$E$106</definedName>
    <definedName name="LI_Modalidad_Anticipada">Listados!$E$136</definedName>
    <definedName name="LI_Modalidad_InteresCapital">TablaModalidadInteresCapital[Modalidad]</definedName>
    <definedName name="LI_Modalidad_Vencida">Listados!$E$137</definedName>
    <definedName name="LI_Modulo_Nombre">TablaModulo[Nombre hoja]</definedName>
    <definedName name="LI_Modulo_NombreVBA">TablaModulo[Nombre hoja VBA]</definedName>
    <definedName name="LI_Modulo_Titulo">TablaModulo[Título]</definedName>
    <definedName name="LI_Opcion_No">Listados!$E$35</definedName>
    <definedName name="LI_Opcion_Si">Listados!$E$34</definedName>
    <definedName name="LI_Opcion_SiNo">TablaOpcionSiNo[Opción]</definedName>
    <definedName name="LI_ST_Meses_Historicos">TablaUltimoMesHistorico[Último mes histórico]</definedName>
    <definedName name="LI_ST_Meses_Nombres">TablaMes[Nombre mes]</definedName>
    <definedName name="LI_ST_Meses_Numeros">TablaMes[Número mes]</definedName>
    <definedName name="LI_ST_Primer_Ano_Hist">TablaPrimerAnoHistorico[Año]</definedName>
    <definedName name="LI_Tipo_Cuenta_PUC">TablaTipoCuentaPUC[Tipo]</definedName>
    <definedName name="LI_TipoCredito_CortoPlazo">Listados!$E$142</definedName>
    <definedName name="LI_TipoCredito_LargoPlazo">Listados!$E$143</definedName>
    <definedName name="MO_Version_Comentarios">Portada!$F$15</definedName>
    <definedName name="MO_Version_Fecha">Portada!$F$7</definedName>
    <definedName name="MO_Version_Numero">Portada!$F$11</definedName>
    <definedName name="MO_Version_Parche_Numero">Portada!$F$13</definedName>
    <definedName name="MO_Version_Secundaria_Numero">Portada!$F$12</definedName>
    <definedName name="MO_Version_Tipo">Portada!$F$14</definedName>
    <definedName name="PA_Primer_Ano_Fin">Parametros!$G$34</definedName>
    <definedName name="PA_Primer_Ano_Hist">Parametros!$G$35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01" i="40" l="1"/>
  <c r="E100" i="40"/>
  <c r="E99" i="40"/>
  <c r="E98" i="40"/>
  <c r="E97" i="40"/>
  <c r="E96" i="40"/>
  <c r="E95" i="40"/>
  <c r="E94" i="40"/>
  <c r="E93" i="40"/>
  <c r="E92" i="40"/>
  <c r="E91" i="40"/>
  <c r="E90" i="40"/>
  <c r="E85" i="40"/>
  <c r="E84" i="40"/>
  <c r="F25" i="3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Ricardo Diaz</author>
  </authors>
  <commentList>
    <comment ref="I8" authorId="0" shapeId="0" xr:uid="{310214C7-05C3-4A0F-8BAF-95E9F13A94B1}">
      <text>
        <r>
          <rPr>
            <b/>
            <sz val="9"/>
            <color indexed="81"/>
            <rFont val="Tahoma"/>
            <family val="2"/>
          </rPr>
          <t>Nota:</t>
        </r>
        <r>
          <rPr>
            <sz val="9"/>
            <color indexed="81"/>
            <rFont val="Tahoma"/>
            <family val="2"/>
          </rPr>
          <t xml:space="preserve">
LI=Listado
Gen=Genéricos</t>
        </r>
      </text>
    </comment>
    <comment ref="I66" authorId="0" shapeId="0" xr:uid="{30770290-0709-4CAF-8EFE-69EEA2829B49}">
      <text>
        <r>
          <rPr>
            <b/>
            <sz val="9"/>
            <color indexed="81"/>
            <rFont val="Tahoma"/>
            <family val="2"/>
          </rPr>
          <t>Nota:</t>
        </r>
        <r>
          <rPr>
            <sz val="9"/>
            <color indexed="81"/>
            <rFont val="Tahoma"/>
            <family val="2"/>
          </rPr>
          <t xml:space="preserve">
LI = Listado
ST = Serie de tiempo</t>
        </r>
      </text>
    </comment>
  </commentList>
</comments>
</file>

<file path=xl/sharedStrings.xml><?xml version="1.0" encoding="utf-8"?>
<sst xmlns="http://schemas.openxmlformats.org/spreadsheetml/2006/main" count="329" uniqueCount="203">
  <si>
    <t>Portada</t>
  </si>
  <si>
    <t>General</t>
  </si>
  <si>
    <t>Nombres</t>
  </si>
  <si>
    <t>Versión generada el</t>
  </si>
  <si>
    <t>Título</t>
  </si>
  <si>
    <t>Control de versiones</t>
  </si>
  <si>
    <t>Mayor</t>
  </si>
  <si>
    <t>Secundaria</t>
  </si>
  <si>
    <t>Parche</t>
  </si>
  <si>
    <t>Tipo</t>
  </si>
  <si>
    <t>Comentarios</t>
  </si>
  <si>
    <t>MO_Version_Numero</t>
  </si>
  <si>
    <t>MO_Version_Secundaria_Numero</t>
  </si>
  <si>
    <t>00</t>
  </si>
  <si>
    <t>MO_Version_Parche_Numero</t>
  </si>
  <si>
    <t>Alpha</t>
  </si>
  <si>
    <t>MO_Version_Tipo</t>
  </si>
  <si>
    <t>Sobregiros parcial</t>
  </si>
  <si>
    <t>MO_Version_Comentarios</t>
  </si>
  <si>
    <t>Convenciones</t>
  </si>
  <si>
    <t>Supuesto o parámetro</t>
  </si>
  <si>
    <t>&lt;ejemplo&gt;</t>
  </si>
  <si>
    <t>Columna con parámetros</t>
  </si>
  <si>
    <t>Parámetro de configuración</t>
  </si>
  <si>
    <t>Resultado interno del modelo</t>
  </si>
  <si>
    <t>Cálculo interno del modelo</t>
  </si>
  <si>
    <t>Celda con fórmula</t>
  </si>
  <si>
    <t>MO_Estilo_Fuente_Formula</t>
  </si>
  <si>
    <t>Característica</t>
  </si>
  <si>
    <t>Estado</t>
  </si>
  <si>
    <t>Categoría</t>
  </si>
  <si>
    <t>Subcategoría</t>
  </si>
  <si>
    <t>Peso del archivo</t>
  </si>
  <si>
    <t>Preparar plantilla</t>
  </si>
  <si>
    <t>Base</t>
  </si>
  <si>
    <t>Gestión de estilos</t>
  </si>
  <si>
    <t>En proceso</t>
  </si>
  <si>
    <t>Tabla conectada Power Query</t>
  </si>
  <si>
    <t>Encabezado</t>
  </si>
  <si>
    <t>Contenido</t>
  </si>
  <si>
    <t>Tabla desconectada ingreso datos</t>
  </si>
  <si>
    <t>Acción</t>
  </si>
  <si>
    <t>Implementar</t>
  </si>
  <si>
    <t>Listados</t>
  </si>
  <si>
    <t>Genéricos</t>
  </si>
  <si>
    <t>Estados</t>
  </si>
  <si>
    <t>Sin iniciar</t>
  </si>
  <si>
    <t>Completado</t>
  </si>
  <si>
    <t>En espera</t>
  </si>
  <si>
    <t>Aplazado</t>
  </si>
  <si>
    <t>LI_Gen_Estado</t>
  </si>
  <si>
    <t>Tipo de versión</t>
  </si>
  <si>
    <t>Beta</t>
  </si>
  <si>
    <t>Candidata</t>
  </si>
  <si>
    <t>Producción</t>
  </si>
  <si>
    <t>LI_Gen_Tipo_Version</t>
  </si>
  <si>
    <t>Tiempo cálculo total</t>
  </si>
  <si>
    <t>Ciclo</t>
  </si>
  <si>
    <t>Acciones de desarrollo</t>
  </si>
  <si>
    <t>Corregir</t>
  </si>
  <si>
    <t>Probar</t>
  </si>
  <si>
    <t>LI_Gen_Accion_Desarrollo</t>
  </si>
  <si>
    <t>Parámetros</t>
  </si>
  <si>
    <t>Configuración</t>
  </si>
  <si>
    <t>Gestión de seguridad</t>
  </si>
  <si>
    <t>Cinta de opciones</t>
  </si>
  <si>
    <t>Subcaracterística</t>
  </si>
  <si>
    <t>Principal</t>
  </si>
  <si>
    <t>Desarrollador</t>
  </si>
  <si>
    <t>Contextual</t>
  </si>
  <si>
    <t>Control de rendimiento</t>
  </si>
  <si>
    <t>Excel</t>
  </si>
  <si>
    <t>Power Query</t>
  </si>
  <si>
    <t>Power Pivot</t>
  </si>
  <si>
    <t>Horas asignadas</t>
  </si>
  <si>
    <t>Completada en versión2</t>
  </si>
  <si>
    <t>Fecha de inicio</t>
  </si>
  <si>
    <t>Fecha completada</t>
  </si>
  <si>
    <t>Modelo de datos</t>
  </si>
  <si>
    <t>Seguridad</t>
  </si>
  <si>
    <t>Controles</t>
  </si>
  <si>
    <t>Rendimiento</t>
  </si>
  <si>
    <t>Cargue de datos externos</t>
  </si>
  <si>
    <t>01</t>
  </si>
  <si>
    <t>Solo desarrollo</t>
  </si>
  <si>
    <t>Desarrollo para revisión con usuario final</t>
  </si>
  <si>
    <t>En pruebas con usuario final</t>
  </si>
  <si>
    <t>Estable entregada a usuario final</t>
  </si>
  <si>
    <t>Bitácora</t>
  </si>
  <si>
    <t>Extender</t>
  </si>
  <si>
    <t>Tareas iniciales</t>
  </si>
  <si>
    <t>Validación</t>
  </si>
  <si>
    <t>Requerido</t>
  </si>
  <si>
    <t>Nombres de meses</t>
  </si>
  <si>
    <t>Nombre mes</t>
  </si>
  <si>
    <t>Número mes</t>
  </si>
  <si>
    <t>LI_ST_Meses_Nombres</t>
  </si>
  <si>
    <t>LI_ST_Meses_Numeros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</si>
  <si>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</si>
  <si>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</si>
  <si>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</si>
  <si>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</si>
  <si>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</si>
  <si>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</si>
  <si>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</si>
  <si>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</si>
  <si>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</si>
  <si>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</si>
  <si>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</si>
  <si>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</si>
  <si>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Primer año histórico</t>
  </si>
  <si>
    <t>Año</t>
  </si>
  <si>
    <t>LI_ST_Primer_Ano_Hist</t>
  </si>
  <si>
    <t>Último mes histórico</t>
  </si>
  <si>
    <t>LI_ST_Meses_Historicos</t>
  </si>
  <si>
    <t>Períodos en período</t>
  </si>
  <si>
    <t>Períodos</t>
  </si>
  <si>
    <t>LI_Meses_En_Ano</t>
  </si>
  <si>
    <t>LI_Dias_En_Ano</t>
  </si>
  <si>
    <t>Denominación</t>
  </si>
  <si>
    <t>Factor conversión</t>
  </si>
  <si>
    <t>Conversión</t>
  </si>
  <si>
    <t>Descripción</t>
  </si>
  <si>
    <t>LI_Fact_Conv</t>
  </si>
  <si>
    <t>LI_Denom_Conv</t>
  </si>
  <si>
    <t>COP</t>
  </si>
  <si>
    <t>pesos colombianos</t>
  </si>
  <si>
    <t>COP 000</t>
  </si>
  <si>
    <t>miles de pesos colombianos</t>
  </si>
  <si>
    <t>COP MM</t>
  </si>
  <si>
    <t>millones de pesos colombianos</t>
  </si>
  <si>
    <t>COP MM 000</t>
  </si>
  <si>
    <t>miles de millones de pesos colombianos</t>
  </si>
  <si>
    <t>Conceptos indicadores</t>
  </si>
  <si>
    <t>Concepto</t>
  </si>
  <si>
    <t>LI_Conce_Indic</t>
  </si>
  <si>
    <t>Activo total</t>
  </si>
  <si>
    <t>Depreciación y/o amortización</t>
  </si>
  <si>
    <t>Ganancia por actividades de operación</t>
  </si>
  <si>
    <t>Ingresos de actividades ordinarias</t>
  </si>
  <si>
    <t>Tipos de cuentas maestro PUC</t>
  </si>
  <si>
    <t>LI_Tipo_Cuenta_PUC</t>
  </si>
  <si>
    <t>Común</t>
  </si>
  <si>
    <t>Traslado</t>
  </si>
  <si>
    <t>Módulos</t>
  </si>
  <si>
    <t>Nombre hoja VBA</t>
  </si>
  <si>
    <t>Nombre hoja</t>
  </si>
  <si>
    <t>LI_Modulo_NombreVBA</t>
  </si>
  <si>
    <t>LI_Modulo_Nombre</t>
  </si>
  <si>
    <t>LI_Modulo_Titulo</t>
  </si>
  <si>
    <t>InOr</t>
  </si>
  <si>
    <t>CoOp</t>
  </si>
  <si>
    <t>Costos operacionales</t>
  </si>
  <si>
    <t>GaOp</t>
  </si>
  <si>
    <t>Gastos operacionales</t>
  </si>
  <si>
    <t>OInGa</t>
  </si>
  <si>
    <t>Otros ingresos y gastos</t>
  </si>
  <si>
    <t>Creditos</t>
  </si>
  <si>
    <t>Créditos</t>
  </si>
  <si>
    <t>InGaFi</t>
  </si>
  <si>
    <t>Ingresos y gastos financieros</t>
  </si>
  <si>
    <t>CapEx</t>
  </si>
  <si>
    <t>Activos fijos</t>
  </si>
  <si>
    <t>Imptos</t>
  </si>
  <si>
    <t>Impuestos</t>
  </si>
  <si>
    <t>ER</t>
  </si>
  <si>
    <t>Estado de resultados</t>
  </si>
  <si>
    <t>CapTra</t>
  </si>
  <si>
    <t>Capital de trabajo</t>
  </si>
  <si>
    <t>ActPas</t>
  </si>
  <si>
    <t>Activos y pasivos</t>
  </si>
  <si>
    <t>ESF</t>
  </si>
  <si>
    <t>Estado de situación financiera</t>
  </si>
  <si>
    <t>FCmi</t>
  </si>
  <si>
    <t>Flujo de caja método indirecto</t>
  </si>
  <si>
    <t>Calc_Hist</t>
  </si>
  <si>
    <t>Cálculos históricos</t>
  </si>
  <si>
    <t>Sobregiros</t>
  </si>
  <si>
    <t>Modalidades de intereses y capital</t>
  </si>
  <si>
    <t>Modalidad</t>
  </si>
  <si>
    <t>Valor</t>
  </si>
  <si>
    <t>LI_Modalidad_InteresCapital</t>
  </si>
  <si>
    <t>Anticipada</t>
  </si>
  <si>
    <t>LI_Modalidad_Anticipada</t>
  </si>
  <si>
    <t>Vencida</t>
  </si>
  <si>
    <t>LI_Modalidad_Vencida</t>
  </si>
  <si>
    <t>Opciones Si / No</t>
  </si>
  <si>
    <t>Opción</t>
  </si>
  <si>
    <t>LI_Opcion_SiNo</t>
  </si>
  <si>
    <t>Si</t>
  </si>
  <si>
    <t>LI_Opcion_Si</t>
  </si>
  <si>
    <t>No</t>
  </si>
  <si>
    <t>LI_Opcion_No</t>
  </si>
  <si>
    <t>Tipos de crédito por plazo</t>
  </si>
  <si>
    <t>Tipo de crédito</t>
  </si>
  <si>
    <t>Corto plazo</t>
  </si>
  <si>
    <t>LI_TipoCredito_CortoPlazo</t>
  </si>
  <si>
    <t>Largo plazo</t>
  </si>
  <si>
    <t>LI_TipoCredito_LargoPlazo</t>
  </si>
  <si>
    <t>Series de tiempo</t>
  </si>
  <si>
    <t>LI_Descrip_Conv</t>
  </si>
  <si>
    <t>Financieros</t>
  </si>
  <si>
    <t>Internos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</si>
</sst>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41" formatCode="_-* #,##0_-;\-* #,##0_-;_-* &quot;-&quot;_-;_-@_-"/>
    <numFmt numFmtId="164" formatCode="_(###0_);\(###0\);_(&quot;-&quot;_);_)@_)"/>
    <numFmt numFmtId="165" formatCode="_)d\-mmm\-yy_);_)d\-mmm\-yy_);_)&quot;-&quot;_);_)@_)"/>
    <numFmt numFmtId="166" formatCode="_(* #,##0_);_(* \(#,##0\);_(* &quot;-&quot;_);_(@_)"/>
    <numFmt numFmtId="167" formatCode="_(&quot;$&quot;#,##0.0_);\(&quot;$&quot;#,##0.0\);_(&quot;-&quot;_);_)@_)"/>
    <numFmt numFmtId="168" formatCode="_(#,##0.0\x_);\(#,##0.0\x\);_(&quot;-&quot;_);_)@_)"/>
    <numFmt numFmtId="169" formatCode="_(#,##0.00_);\(#,##0.00\);_(&quot;-&quot;_);_)@_)"/>
    <numFmt numFmtId="170" formatCode="_(#,##0.0_);\(#,##0.0\);_(&quot;-&quot;_);_)@_)"/>
    <numFmt numFmtId="171" formatCode="_(#,##0.00%_);\(#,##0.00%\);_(&quot;-&quot;_);_)@_)"/>
    <numFmt numFmtId="172" formatCode="_(#,##0.0%_);\(#,##0.0%\);_(&quot;-&quot;_);_)@_)"/>
    <numFmt numFmtId="173" formatCode="_(#,##0_);\(#,##0\);_(#,##0_);_)@_)"/>
    <numFmt numFmtId="174" formatCode="_)d\-mmm\-yy\ h:mm_);_)d\-mmm\-yy\ h:mm_);_)&quot;-&quot;_);_)@_)"/>
    <numFmt numFmtId="175" formatCode="mmm\ yyyy"/>
  </numFmts>
  <fonts count="42" x14ac:knownFonts="1">
    <font>
      <sz val="9"/>
      <color theme="1" tint="0.2499465926084170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 tint="0.24994659260841701"/>
      <name val="Calibri"/>
      <family val="2"/>
      <scheme val="minor"/>
    </font>
    <font>
      <sz val="9"/>
      <color rgb="FF006100"/>
      <name val="Calibri"/>
      <family val="2"/>
      <scheme val="minor"/>
    </font>
    <font>
      <b/>
      <sz val="9"/>
      <color rgb="FFFA7D0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rgb="FFFA7D00"/>
      <name val="Calibri"/>
      <family val="2"/>
      <scheme val="minor"/>
    </font>
    <font>
      <sz val="9"/>
      <color theme="0"/>
      <name val="Calibri Light"/>
      <family val="2"/>
      <scheme val="major"/>
    </font>
    <font>
      <b/>
      <sz val="9"/>
      <color theme="4" tint="-0.49995422223578601"/>
      <name val="Calibri Light"/>
      <family val="2"/>
      <scheme val="major"/>
    </font>
    <font>
      <b/>
      <sz val="9"/>
      <color theme="1" tint="0.24994659260841701"/>
      <name val="Calibri Light"/>
      <family val="2"/>
      <scheme val="major"/>
    </font>
    <font>
      <b/>
      <sz val="9"/>
      <color theme="3"/>
      <name val="Calibri"/>
      <family val="2"/>
      <scheme val="minor"/>
    </font>
    <font>
      <sz val="9"/>
      <color theme="1" tint="0.24994659260841701"/>
      <name val="Calibri Light"/>
      <family val="2"/>
      <scheme val="major"/>
    </font>
    <font>
      <b/>
      <sz val="9"/>
      <color theme="1"/>
      <name val="Calibri Light"/>
      <family val="2"/>
      <scheme val="major"/>
    </font>
    <font>
      <sz val="9"/>
      <color theme="0"/>
      <name val="Calibri"/>
      <family val="2"/>
      <scheme val="minor"/>
    </font>
    <font>
      <sz val="9"/>
      <color rgb="FF3F3F76"/>
      <name val="Calibri"/>
      <family val="2"/>
      <scheme val="minor"/>
    </font>
    <font>
      <sz val="9"/>
      <color theme="11"/>
      <name val="Wingdings"/>
      <charset val="2"/>
    </font>
    <font>
      <b/>
      <u/>
      <sz val="9"/>
      <color theme="11"/>
      <name val="Calibri"/>
      <family val="2"/>
      <scheme val="minor"/>
    </font>
    <font>
      <u/>
      <sz val="9"/>
      <color theme="11"/>
      <name val="Calibri"/>
      <family val="2"/>
      <scheme val="minor"/>
    </font>
    <font>
      <sz val="9"/>
      <color theme="11"/>
      <name val="Calibri"/>
      <family val="2"/>
      <scheme val="minor"/>
    </font>
    <font>
      <sz val="9"/>
      <color rgb="FF9C0006"/>
      <name val="Calibri"/>
      <family val="2"/>
      <scheme val="minor"/>
    </font>
    <font>
      <sz val="9"/>
      <color theme="6" tint="-0.24994659260841701"/>
      <name val="Calibri"/>
      <family val="2"/>
      <scheme val="minor"/>
    </font>
    <font>
      <sz val="9"/>
      <color theme="4" tint="-0.49995422223578601"/>
      <name val="Calibri"/>
      <family val="2"/>
      <scheme val="minor"/>
    </font>
    <font>
      <sz val="9"/>
      <color theme="8" tint="-0.24994659260841701"/>
      <name val="Calibri"/>
      <family val="2"/>
      <scheme val="minor"/>
    </font>
    <font>
      <sz val="9"/>
      <color rgb="FF9C5700"/>
      <name val="Calibri"/>
      <family val="2"/>
      <scheme val="minor"/>
    </font>
    <font>
      <b/>
      <sz val="10"/>
      <color theme="1" tint="0.24994659260841701"/>
      <name val="Calibri Light"/>
      <family val="2"/>
      <scheme val="major"/>
    </font>
    <font>
      <sz val="10"/>
      <color theme="1" tint="0.24994659260841701"/>
      <name val="Trebuchet MS"/>
      <family val="2"/>
    </font>
    <font>
      <b/>
      <sz val="9"/>
      <color theme="1"/>
      <name val="Calibri"/>
      <family val="2"/>
      <scheme val="minor"/>
    </font>
    <font>
      <sz val="10"/>
      <color theme="0"/>
      <name val="Trebuchet MS"/>
      <family val="2"/>
    </font>
    <font>
      <b/>
      <sz val="11"/>
      <color theme="1" tint="0.2499465926084170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b/>
      <sz val="9"/>
      <color rgb="FF3F3F3F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 tint="0.24994659260841701"/>
      <name val="Calibri"/>
      <family val="2"/>
      <scheme val="minor"/>
    </font>
    <font>
      <sz val="9"/>
      <color rgb="FFFF0000"/>
      <name val="Calibri"/>
      <family val="2"/>
      <scheme val="minor"/>
    </font>
    <font>
      <i/>
      <sz val="9"/>
      <color rgb="FF7F7F7F"/>
      <name val="Calibri"/>
      <family val="2"/>
      <scheme val="minor"/>
    </font>
    <font>
      <sz val="24"/>
      <color theme="3"/>
      <name val="Trebuchet MS"/>
      <family val="2"/>
    </font>
    <font>
      <sz val="9"/>
      <color theme="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9"/>
      <color theme="10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39994506668294322"/>
        <bgColor indexed="64"/>
      </patternFill>
    </fill>
  </fills>
  <borders count="2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-0.4999542222357860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6" tint="0.39994506668294322"/>
      </left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 style="thin">
        <color theme="5" tint="0.39994506668294322"/>
      </left>
      <right style="thin">
        <color theme="5" tint="0.39994506668294322"/>
      </right>
      <top style="thin">
        <color theme="5" tint="0.39994506668294322"/>
      </top>
      <bottom style="thin">
        <color theme="5" tint="0.39994506668294322"/>
      </bottom>
      <diagonal/>
    </border>
    <border>
      <left style="thin">
        <color theme="8" tint="0.39994506668294322"/>
      </left>
      <right style="thin">
        <color theme="8" tint="0.39994506668294322"/>
      </right>
      <top style="thin">
        <color theme="8" tint="0.39994506668294322"/>
      </top>
      <bottom style="thin">
        <color theme="8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/>
      <right/>
      <top style="thin">
        <color theme="4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-0.24994659260841701"/>
      </left>
      <right style="thin">
        <color theme="4" tint="-0.24994659260841701"/>
      </right>
      <top style="thin">
        <color theme="4" tint="-0.24994659260841701"/>
      </top>
      <bottom style="thin">
        <color theme="4" tint="-0.2499465926084170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</borders>
  <cellStyleXfs count="122">
    <xf numFmtId="0" fontId="0" fillId="0" borderId="0"/>
    <xf numFmtId="0" fontId="5" fillId="2" borderId="0" applyNumberFormat="0" applyBorder="0" applyAlignment="0" applyProtection="0"/>
    <xf numFmtId="0" fontId="21" fillId="3" borderId="0" applyNumberFormat="0" applyBorder="0" applyAlignment="0" applyProtection="0"/>
    <xf numFmtId="0" fontId="16" fillId="4" borderId="1" applyNumberFormat="0" applyAlignment="0" applyProtection="0"/>
    <xf numFmtId="0" fontId="11" fillId="0" borderId="0" applyFill="0" applyBorder="0">
      <alignment vertical="center"/>
    </xf>
    <xf numFmtId="0" fontId="13" fillId="0" borderId="0" applyFill="0" applyBorder="0">
      <alignment vertical="center"/>
    </xf>
    <xf numFmtId="164" fontId="4" fillId="0" borderId="0" applyFill="0" applyBorder="0">
      <alignment vertical="center"/>
    </xf>
    <xf numFmtId="166" fontId="4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1" fillId="0" borderId="2" applyNumberFormat="0" applyFill="0" applyAlignment="0" applyProtection="0"/>
    <xf numFmtId="0" fontId="2" fillId="0" borderId="3" applyNumberFormat="0" applyFill="0" applyAlignment="0" applyProtection="0"/>
    <xf numFmtId="0" fontId="12" fillId="0" borderId="4" applyNumberFormat="0" applyFill="0" applyAlignment="0" applyProtection="0"/>
    <xf numFmtId="0" fontId="12" fillId="0" borderId="0" applyNumberFormat="0" applyFill="0" applyBorder="0" applyAlignment="0" applyProtection="0"/>
    <xf numFmtId="0" fontId="25" fillId="5" borderId="0" applyNumberFormat="0" applyBorder="0" applyAlignment="0" applyProtection="0"/>
    <xf numFmtId="0" fontId="32" fillId="6" borderId="5" applyNumberFormat="0" applyAlignment="0" applyProtection="0"/>
    <xf numFmtId="0" fontId="6" fillId="6" borderId="1" applyNumberFormat="0" applyAlignment="0" applyProtection="0"/>
    <xf numFmtId="0" fontId="8" fillId="0" borderId="6" applyNumberFormat="0" applyFill="0" applyAlignment="0" applyProtection="0"/>
    <xf numFmtId="0" fontId="7" fillId="7" borderId="7" applyNumberFormat="0" applyAlignment="0" applyProtection="0"/>
    <xf numFmtId="0" fontId="35" fillId="0" borderId="0" applyNumberFormat="0" applyFill="0" applyBorder="0" applyAlignment="0" applyProtection="0"/>
    <xf numFmtId="0" fontId="3" fillId="8" borderId="8" applyNumberFormat="0" applyAlignment="0" applyProtection="0"/>
    <xf numFmtId="0" fontId="36" fillId="0" borderId="0" applyNumberFormat="0" applyFill="0" applyBorder="0" applyAlignment="0" applyProtection="0"/>
    <xf numFmtId="0" fontId="28" fillId="0" borderId="9" applyNumberFormat="0" applyFill="0" applyAlignment="0" applyProtection="0"/>
    <xf numFmtId="0" fontId="15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15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5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15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15" fillId="25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3" borderId="0" applyNumberFormat="0" applyBorder="0" applyAlignment="0" applyProtection="0"/>
    <xf numFmtId="0" fontId="15" fillId="28" borderId="0" applyNumberFormat="0" applyBorder="0" applyAlignment="0" applyProtection="0"/>
    <xf numFmtId="0" fontId="3" fillId="29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9" fillId="34" borderId="0" applyBorder="0">
      <alignment vertical="center"/>
    </xf>
    <xf numFmtId="0" fontId="9" fillId="34" borderId="0" applyBorder="0">
      <alignment horizontal="centerContinuous" vertical="center"/>
    </xf>
    <xf numFmtId="0" fontId="10" fillId="36" borderId="10">
      <alignment vertical="center"/>
    </xf>
    <xf numFmtId="0" fontId="10" fillId="35" borderId="10">
      <alignment vertical="center"/>
    </xf>
    <xf numFmtId="0" fontId="14" fillId="32" borderId="11" applyAlignment="0"/>
    <xf numFmtId="165" fontId="4" fillId="0" borderId="0" applyFill="0" applyBorder="0">
      <alignment vertical="center"/>
    </xf>
    <xf numFmtId="0" fontId="17" fillId="0" borderId="0" applyFill="0" applyBorder="0">
      <alignment horizontal="center" vertical="center"/>
    </xf>
    <xf numFmtId="0" fontId="17" fillId="0" borderId="0" applyFill="0" applyBorder="0">
      <alignment horizontal="center" vertical="center"/>
    </xf>
    <xf numFmtId="0" fontId="18" fillId="0" borderId="0" applyFill="0" applyBorder="0">
      <alignment vertical="center"/>
    </xf>
    <xf numFmtId="0" fontId="19" fillId="0" borderId="0" applyFill="0" applyBorder="0">
      <alignment vertical="center"/>
    </xf>
    <xf numFmtId="0" fontId="20" fillId="0" borderId="0" applyFill="0" applyBorder="0">
      <alignment vertical="center"/>
    </xf>
    <xf numFmtId="0" fontId="20" fillId="0" borderId="0" applyFill="0" applyBorder="0">
      <alignment vertical="center"/>
    </xf>
    <xf numFmtId="0" fontId="19" fillId="0" borderId="0" applyFill="0" applyBorder="0">
      <alignment vertical="center"/>
    </xf>
    <xf numFmtId="0" fontId="13" fillId="37" borderId="0" applyNumberFormat="0" applyBorder="0">
      <alignment vertical="center"/>
    </xf>
    <xf numFmtId="0" fontId="22" fillId="38" borderId="12" applyNumberFormat="0">
      <alignment vertical="center"/>
    </xf>
    <xf numFmtId="0" fontId="23" fillId="35" borderId="13" applyNumberFormat="0">
      <alignment vertical="center"/>
      <protection locked="0"/>
    </xf>
    <xf numFmtId="0" fontId="24" fillId="39" borderId="14" applyNumberFormat="0">
      <alignment vertical="center"/>
    </xf>
    <xf numFmtId="167" fontId="4" fillId="0" borderId="0" applyFill="0" applyBorder="0">
      <alignment vertical="center"/>
    </xf>
    <xf numFmtId="168" fontId="4" fillId="0" borderId="0" applyFill="0" applyBorder="0">
      <alignment vertical="center"/>
    </xf>
    <xf numFmtId="0" fontId="26" fillId="0" borderId="0" applyFill="0" applyBorder="0">
      <alignment vertical="center"/>
    </xf>
    <xf numFmtId="169" fontId="4" fillId="0" borderId="0" applyFill="0" applyBorder="0">
      <alignment vertical="center"/>
    </xf>
    <xf numFmtId="0" fontId="26" fillId="0" borderId="0" applyFill="0" applyBorder="0">
      <alignment vertical="center"/>
    </xf>
    <xf numFmtId="170" fontId="4" fillId="0" borderId="0" applyFill="0" applyBorder="0">
      <alignment vertical="center"/>
    </xf>
    <xf numFmtId="171" fontId="4" fillId="0" borderId="0" applyFill="0" applyBorder="0">
      <alignment vertical="center"/>
    </xf>
    <xf numFmtId="164" fontId="4" fillId="0" borderId="0" applyFill="0" applyBorder="0">
      <alignment vertical="center"/>
    </xf>
    <xf numFmtId="0" fontId="9" fillId="34" borderId="0" applyBorder="0">
      <alignment vertical="center"/>
    </xf>
    <xf numFmtId="0" fontId="10" fillId="36" borderId="10">
      <alignment vertical="center"/>
    </xf>
    <xf numFmtId="0" fontId="11" fillId="0" borderId="0" applyFill="0" applyBorder="0">
      <alignment vertical="center"/>
    </xf>
    <xf numFmtId="0" fontId="13" fillId="0" borderId="0" applyFill="0" applyBorder="0">
      <alignment vertical="center"/>
    </xf>
    <xf numFmtId="165" fontId="4" fillId="0" borderId="0" applyFill="0" applyBorder="0">
      <alignment vertical="center"/>
    </xf>
    <xf numFmtId="0" fontId="17" fillId="0" borderId="0" applyFill="0" applyBorder="0">
      <alignment horizontal="center" vertical="center"/>
    </xf>
    <xf numFmtId="0" fontId="19" fillId="0" borderId="0" applyFill="0" applyBorder="0">
      <alignment vertical="center"/>
    </xf>
    <xf numFmtId="0" fontId="17" fillId="0" borderId="0" applyFill="0" applyBorder="0">
      <alignment horizontal="center" vertical="center"/>
    </xf>
    <xf numFmtId="167" fontId="4" fillId="0" borderId="0" applyFill="0" applyBorder="0">
      <alignment vertical="center"/>
    </xf>
    <xf numFmtId="168" fontId="4" fillId="0" borderId="0" applyFill="0" applyBorder="0">
      <alignment vertical="center"/>
    </xf>
    <xf numFmtId="0" fontId="26" fillId="0" borderId="0" applyFill="0" applyBorder="0">
      <alignment vertical="center"/>
    </xf>
    <xf numFmtId="0" fontId="4" fillId="0" borderId="0" applyFill="0" applyBorder="0">
      <alignment vertical="center"/>
    </xf>
    <xf numFmtId="0" fontId="26" fillId="0" borderId="0" applyFill="0" applyBorder="0">
      <alignment vertical="center"/>
    </xf>
    <xf numFmtId="170" fontId="4" fillId="0" borderId="0" applyFill="0" applyBorder="0">
      <alignment vertical="center"/>
    </xf>
    <xf numFmtId="172" fontId="4" fillId="0" borderId="0" applyFill="0" applyBorder="0">
      <alignment vertical="center"/>
    </xf>
    <xf numFmtId="0" fontId="13" fillId="0" borderId="0" applyFill="0" applyBorder="0">
      <alignment vertical="center"/>
      <protection locked="0"/>
    </xf>
    <xf numFmtId="0" fontId="27" fillId="40" borderId="15" applyNumberFormat="0">
      <alignment horizontal="center"/>
    </xf>
    <xf numFmtId="0" fontId="28" fillId="0" borderId="16" applyNumberFormat="0" applyFill="0" applyAlignment="0" applyProtection="0"/>
    <xf numFmtId="0" fontId="18" fillId="0" borderId="0" applyFill="0" applyBorder="0">
      <alignment vertical="center"/>
    </xf>
    <xf numFmtId="0" fontId="19" fillId="0" borderId="0" applyFill="0" applyBorder="0">
      <alignment vertical="center"/>
    </xf>
    <xf numFmtId="0" fontId="20" fillId="0" borderId="0" applyFill="0" applyBorder="0">
      <alignment vertical="center"/>
    </xf>
    <xf numFmtId="0" fontId="20" fillId="0" borderId="0" applyFill="0" applyBorder="0">
      <alignment vertical="center"/>
    </xf>
    <xf numFmtId="0" fontId="29" fillId="41" borderId="0" applyBorder="0">
      <alignment horizontal="center" vertical="center"/>
    </xf>
    <xf numFmtId="0" fontId="15" fillId="41" borderId="0" applyBorder="0">
      <alignment vertical="center"/>
    </xf>
    <xf numFmtId="0" fontId="30" fillId="0" borderId="0" applyFill="0" applyBorder="0">
      <alignment vertical="center"/>
    </xf>
    <xf numFmtId="0" fontId="31" fillId="0" borderId="9" applyNumberFormat="0" applyFill="0" applyAlignment="0" applyProtection="0"/>
    <xf numFmtId="169" fontId="4" fillId="0" borderId="0" applyFill="0" applyBorder="0">
      <alignment vertical="center"/>
    </xf>
    <xf numFmtId="0" fontId="13" fillId="0" borderId="0" applyFill="0" applyBorder="0">
      <alignment vertical="center"/>
      <protection locked="0"/>
    </xf>
    <xf numFmtId="164" fontId="23" fillId="40" borderId="17">
      <alignment vertical="center"/>
      <protection locked="0"/>
    </xf>
    <xf numFmtId="0" fontId="33" fillId="42" borderId="18" applyNumberFormat="0" applyFill="0" applyBorder="0" applyAlignment="0">
      <alignment vertical="center"/>
      <protection locked="0"/>
    </xf>
    <xf numFmtId="0" fontId="15" fillId="42" borderId="18">
      <alignment vertical="center"/>
    </xf>
    <xf numFmtId="165" fontId="23" fillId="40" borderId="17">
      <alignment vertical="center"/>
      <protection locked="0"/>
    </xf>
    <xf numFmtId="169" fontId="23" fillId="40" borderId="17">
      <alignment vertical="center"/>
      <protection locked="0"/>
    </xf>
    <xf numFmtId="167" fontId="23" fillId="40" borderId="17">
      <alignment vertical="center"/>
      <protection locked="0"/>
    </xf>
    <xf numFmtId="168" fontId="23" fillId="40" borderId="17">
      <alignment vertical="center"/>
      <protection locked="0"/>
    </xf>
    <xf numFmtId="170" fontId="23" fillId="40" borderId="17">
      <alignment vertical="center"/>
      <protection locked="0"/>
    </xf>
    <xf numFmtId="171" fontId="23" fillId="40" borderId="17">
      <alignment vertical="center"/>
      <protection locked="0"/>
    </xf>
    <xf numFmtId="0" fontId="23" fillId="40" borderId="17">
      <alignment vertical="center"/>
      <protection locked="0"/>
    </xf>
    <xf numFmtId="0" fontId="34" fillId="0" borderId="19" applyFill="0">
      <alignment horizontal="center" vertical="center"/>
    </xf>
    <xf numFmtId="0" fontId="4" fillId="0" borderId="19" applyFill="0">
      <alignment horizontal="center" vertical="center"/>
    </xf>
    <xf numFmtId="173" fontId="4" fillId="0" borderId="19" applyFill="0">
      <alignment horizontal="center" vertical="center"/>
    </xf>
    <xf numFmtId="0" fontId="30" fillId="0" borderId="0" applyFill="0" applyBorder="0">
      <alignment vertical="center"/>
    </xf>
    <xf numFmtId="0" fontId="15" fillId="41" borderId="0" applyBorder="0">
      <alignment vertical="center"/>
    </xf>
    <xf numFmtId="0" fontId="41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174" fontId="4" fillId="0" borderId="0" applyFill="0" applyBorder="0">
      <alignment vertical="center"/>
    </xf>
    <xf numFmtId="0" fontId="34" fillId="0" borderId="19" applyFill="0">
      <alignment horizontal="center" vertical="center"/>
    </xf>
    <xf numFmtId="0" fontId="4" fillId="0" borderId="19" applyFill="0">
      <alignment horizontal="center" vertical="center"/>
    </xf>
    <xf numFmtId="173" fontId="4" fillId="0" borderId="19" applyFill="0">
      <alignment horizontal="center" vertical="center"/>
    </xf>
    <xf numFmtId="41" fontId="4" fillId="0" borderId="0" applyFont="0" applyFill="0" applyBorder="0" applyAlignment="0" applyProtection="0"/>
    <xf numFmtId="0" fontId="13" fillId="0" borderId="0" applyFill="0" applyBorder="0">
      <alignment vertical="center"/>
    </xf>
  </cellStyleXfs>
  <cellXfs count="40">
    <xf numFmtId="0" fontId="0" fillId="0" borderId="0" xfId="0"/>
    <xf numFmtId="0" fontId="13" fillId="37" borderId="0" xfId="59">
      <alignment vertical="center"/>
    </xf>
    <xf numFmtId="0" fontId="10" fillId="36" borderId="10" xfId="48">
      <alignment vertical="center"/>
    </xf>
    <xf numFmtId="0" fontId="11" fillId="0" borderId="0" xfId="4">
      <alignment vertical="center"/>
    </xf>
    <xf numFmtId="0" fontId="9" fillId="34" borderId="0" xfId="46">
      <alignment vertical="center"/>
    </xf>
    <xf numFmtId="0" fontId="13" fillId="37" borderId="0" xfId="59" applyAlignment="1">
      <alignment vertical="top"/>
    </xf>
    <xf numFmtId="49" fontId="23" fillId="35" borderId="13" xfId="61" applyNumberFormat="1" applyAlignment="1">
      <alignment horizontal="center" vertical="center"/>
      <protection locked="0"/>
    </xf>
    <xf numFmtId="0" fontId="23" fillId="35" borderId="13" xfId="61">
      <alignment vertical="center"/>
      <protection locked="0"/>
    </xf>
    <xf numFmtId="0" fontId="23" fillId="35" borderId="13" xfId="61" applyAlignment="1">
      <alignment horizontal="left" vertical="top" wrapText="1"/>
      <protection locked="0"/>
    </xf>
    <xf numFmtId="0" fontId="0" fillId="0" borderId="0" xfId="0" applyAlignment="1">
      <alignment vertical="top"/>
    </xf>
    <xf numFmtId="0" fontId="23" fillId="40" borderId="17" xfId="108" applyAlignment="1">
      <alignment horizontal="center" vertical="center"/>
      <protection locked="0"/>
    </xf>
    <xf numFmtId="0" fontId="15" fillId="42" borderId="18" xfId="101" applyAlignment="1">
      <alignment horizontal="center" vertical="center"/>
    </xf>
    <xf numFmtId="0" fontId="23" fillId="35" borderId="13" xfId="61" applyAlignment="1">
      <alignment horizontal="center" vertical="center"/>
      <protection locked="0"/>
    </xf>
    <xf numFmtId="0" fontId="24" fillId="39" borderId="14" xfId="62" applyAlignment="1">
      <alignment horizontal="center" vertical="center"/>
    </xf>
    <xf numFmtId="0" fontId="22" fillId="38" borderId="12" xfId="60" applyAlignment="1">
      <alignment horizontal="center" vertical="center"/>
    </xf>
    <xf numFmtId="0" fontId="38" fillId="0" borderId="0" xfId="0" applyFont="1"/>
    <xf numFmtId="0" fontId="24" fillId="39" borderId="14" xfId="62">
      <alignment vertical="center"/>
    </xf>
    <xf numFmtId="0" fontId="0" fillId="0" borderId="0" xfId="0" applyAlignment="1">
      <alignment vertical="top" wrapText="1"/>
    </xf>
    <xf numFmtId="170" fontId="4" fillId="0" borderId="0" xfId="68">
      <alignment vertical="center"/>
    </xf>
    <xf numFmtId="0" fontId="30" fillId="0" borderId="0" xfId="112" applyProtection="1">
      <alignment vertical="center"/>
    </xf>
    <xf numFmtId="0" fontId="9" fillId="34" borderId="0" xfId="46" applyProtection="1">
      <alignment vertical="center"/>
    </xf>
    <xf numFmtId="0" fontId="10" fillId="36" borderId="10" xfId="48" applyProtection="1">
      <alignment vertical="center"/>
    </xf>
    <xf numFmtId="0" fontId="0" fillId="0" borderId="0" xfId="0" applyProtection="1"/>
    <xf numFmtId="174" fontId="4" fillId="0" borderId="0" xfId="116">
      <alignment vertical="center"/>
    </xf>
    <xf numFmtId="0" fontId="0" fillId="0" borderId="0" xfId="0"/>
    <xf numFmtId="170" fontId="4" fillId="0" borderId="0" xfId="68">
      <alignment vertical="center"/>
    </xf>
    <xf numFmtId="0" fontId="9" fillId="34" borderId="0" xfId="47">
      <alignment horizontal="centerContinuous" vertical="center"/>
    </xf>
    <xf numFmtId="0" fontId="0" fillId="0" borderId="20" xfId="0" applyBorder="1"/>
    <xf numFmtId="0" fontId="30" fillId="0" borderId="0" xfId="112">
      <alignment vertical="center"/>
    </xf>
    <xf numFmtId="0" fontId="0" fillId="0" borderId="0" xfId="0" applyAlignment="1" applyProtection="1">
      <alignment horizontal="center"/>
    </xf>
    <xf numFmtId="0" fontId="4" fillId="0" borderId="0" xfId="110" applyBorder="1" applyProtection="1">
      <alignment horizontal="center" vertical="center"/>
    </xf>
    <xf numFmtId="0" fontId="0" fillId="0" borderId="0" xfId="0" applyProtection="1">
      <protection locked="0"/>
    </xf>
    <xf numFmtId="0" fontId="0" fillId="0" borderId="0" xfId="0" applyFont="1" applyFill="1" applyBorder="1" applyAlignment="1" applyProtection="1">
      <alignment horizontal="center"/>
    </xf>
    <xf numFmtId="0" fontId="0" fillId="0" borderId="0" xfId="110" applyFont="1" applyFill="1" applyBorder="1" applyProtection="1">
      <alignment horizontal="center" vertical="center"/>
      <protection locked="0"/>
    </xf>
    <xf numFmtId="0" fontId="0" fillId="0" borderId="0" xfId="111" applyNumberFormat="1" applyFont="1" applyFill="1" applyBorder="1" applyProtection="1">
      <alignment horizontal="center" vertical="center"/>
      <protection locked="0"/>
    </xf>
    <xf numFmtId="0" fontId="0" fillId="0" borderId="0" xfId="0" applyFont="1" applyFill="1" applyBorder="1" applyProtection="1"/>
    <xf numFmtId="175" fontId="0" fillId="0" borderId="0" xfId="110" applyNumberFormat="1" applyFont="1" applyFill="1" applyBorder="1" applyProtection="1">
      <alignment horizontal="center" vertical="center"/>
      <protection locked="0"/>
    </xf>
    <xf numFmtId="0" fontId="0" fillId="0" borderId="0" xfId="0" applyFont="1" applyFill="1" applyBorder="1" applyProtection="1">
      <protection locked="0"/>
    </xf>
    <xf numFmtId="173" fontId="0" fillId="0" borderId="0" xfId="111" applyFont="1" applyFill="1" applyBorder="1" applyProtection="1">
      <alignment horizontal="center" vertical="center"/>
      <protection locked="0"/>
    </xf>
    <xf numFmtId="173" fontId="0" fillId="0" borderId="0" xfId="100" applyNumberFormat="1" applyFont="1" applyFill="1" applyBorder="1" applyAlignment="1" applyProtection="1">
      <alignment horizontal="center" vertical="center"/>
      <protection locked="0"/>
    </xf>
  </cellXfs>
  <cellStyles count="122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Año:-" xfId="6" xr:uid="{07C72758-4748-4271-ACD6-77A1447AABCA}"/>
    <cellStyle name="Bueno" xfId="1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9" builtinId="16" customBuiltin="1"/>
    <cellStyle name="Encabezado 1 centrado selecc:-" xfId="47" xr:uid="{EE09A113-6181-4E8A-8B1D-EE6C01251906}"/>
    <cellStyle name="Encabezado 1:-" xfId="46" xr:uid="{07277C6F-B8DE-42DD-9719-9C002EFC721D}"/>
    <cellStyle name="Encabezado 2.1:-" xfId="49" xr:uid="{1B6A025B-65D4-4A85-94EE-01235C79938E}"/>
    <cellStyle name="Encabezado 2:-" xfId="48" xr:uid="{87901343-07D2-4030-BF2F-3A862D14BA5D}"/>
    <cellStyle name="Encabezado 3:-" xfId="4" xr:uid="{C415836F-6DEB-4F44-9C7B-70C449CD873F}"/>
    <cellStyle name="Encabezado 4" xfId="12" builtinId="19" customBuiltin="1"/>
    <cellStyle name="Encabezado 4-" xfId="121" xr:uid="{E455FD5D-327E-4AC6-9B7C-CC0FE982FFD5}"/>
    <cellStyle name="Encabezado 4:-" xfId="5" xr:uid="{2FB7CB4B-154A-4104-A490-06FC46418BFB}"/>
    <cellStyle name="EncabezadoTabla:-" xfId="50" xr:uid="{DE8C5FFF-D4B2-4268-B6BB-67F42498906F}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3" builtinId="20" customBuiltin="1"/>
    <cellStyle name="Fecha hora:-" xfId="116" xr:uid="{FBF11E27-CE85-4A17-B944-1C3A5F39404A}"/>
    <cellStyle name="Fecha:-" xfId="51" xr:uid="{6D234AD3-3582-462D-827F-E3487BD5AD02}"/>
    <cellStyle name="Hipervínculo" xfId="114" builtinId="8" customBuiltin="1"/>
    <cellStyle name="Hipervínculo Flecha:-" xfId="52" xr:uid="{90C3CE7E-7535-4D63-BEC0-2EF8F3B391B5}"/>
    <cellStyle name="Hipervínculo Ícono:-" xfId="53" xr:uid="{6C316329-7C3C-4513-B61A-5FB5634A58B4}"/>
    <cellStyle name="Hipervínculo TDC 1:-" xfId="54" xr:uid="{832A9450-A33D-4B74-8F2D-3321935980C7}"/>
    <cellStyle name="Hipervínculo TDC 2:-" xfId="55" xr:uid="{93A39946-16D4-4AE7-A06B-7EAED638BDE7}"/>
    <cellStyle name="Hipervínculo TDC 3:-" xfId="56" xr:uid="{6BB2F488-C041-48AB-AFD4-BFBDB3F1F9AE}"/>
    <cellStyle name="Hipervínculo TDC 4:-" xfId="57" xr:uid="{1910EB06-BBF6-49A2-929D-9E428DB8D2AC}"/>
    <cellStyle name="Hipervínculo Texto:-" xfId="58" xr:uid="{DE9FEAEE-C71D-4CBB-B65E-46C1F8BF577A}"/>
    <cellStyle name="Hipervínculo visitado" xfId="115" builtinId="9" customBuiltin="1"/>
    <cellStyle name="Incorrecto" xfId="2" builtinId="27" customBuiltin="1"/>
    <cellStyle name="Millares [0]" xfId="7" builtinId="6" customBuiltin="1"/>
    <cellStyle name="Millares [0] 2" xfId="120" xr:uid="{57E94538-8592-465A-9E25-F3C5DE9291C2}"/>
    <cellStyle name="Modelo anotación:-" xfId="59" xr:uid="{22F510C9-CD35-4A24-92BA-01DB9FE243C4}"/>
    <cellStyle name="Modelo cálculo interno:-" xfId="60" xr:uid="{534A4E9D-B018-4A28-BDCA-1031B4D4DF06}"/>
    <cellStyle name="Modelo parámetro interno:-" xfId="61" xr:uid="{EF47CDB2-A888-4E5D-BA7C-F45D6FCE4992}"/>
    <cellStyle name="Modelo resultado interno:-" xfId="62" xr:uid="{006CF6C3-B6D7-46C9-B9CB-C90C58E1CF6D}"/>
    <cellStyle name="Moneda:-" xfId="63" xr:uid="{5F95BEB8-8947-43AA-9277-3FBEA571B6EA}"/>
    <cellStyle name="Múltiple:-" xfId="64" xr:uid="{A5E2592B-6558-4436-8CB5-796993DE4492}"/>
    <cellStyle name="Neutral" xfId="13" builtinId="28" customBuiltin="1"/>
    <cellStyle name="Nombre modelo:-" xfId="65" xr:uid="{E72F5E4D-A12D-49DF-BC86-D6BDCCA3AEA3}"/>
    <cellStyle name="Normal" xfId="0" builtinId="0" customBuiltin="1"/>
    <cellStyle name="Notas" xfId="19" builtinId="10" customBuiltin="1"/>
    <cellStyle name="Número Indicador:-" xfId="66" xr:uid="{24D37842-3687-4EDF-B646-AEA2DD053E32}"/>
    <cellStyle name="Número Sección:-" xfId="67" xr:uid="{C12F71A8-AA09-4A0B-B67A-9293C1E5E2DD}"/>
    <cellStyle name="Número:-" xfId="68" xr:uid="{167E5066-CFFE-4187-8360-9AD959AA5620}"/>
    <cellStyle name="Porcentaje:-" xfId="69" xr:uid="{67F3CC34-D9FC-4A64-8E8F-D68B9499E973}"/>
    <cellStyle name="Rpt Año:-" xfId="70" xr:uid="{7A03585C-FDBA-4368-BADA-D605E904AF6E}"/>
    <cellStyle name="Rpt Encabezado 1:-" xfId="71" xr:uid="{17FDE747-69E8-4397-84A7-86E187CBB60D}"/>
    <cellStyle name="Rpt Encabezado 2:-" xfId="72" xr:uid="{E450E8D6-E511-456B-A7E8-94A4BB936CBA}"/>
    <cellStyle name="Rpt Encabezado 3:-" xfId="73" xr:uid="{B2A7C0B7-F454-40DA-8B47-F830391615B4}"/>
    <cellStyle name="Rpt Encabezado 4:-" xfId="74" xr:uid="{68571432-0B4A-4DB3-BC18-84BAF97A9A3D}"/>
    <cellStyle name="Rpt Fecha:-" xfId="75" xr:uid="{D6037339-B8F3-4EDF-81D0-13F702E3D9FD}"/>
    <cellStyle name="Rpt Hipervínculo Flecha:-" xfId="76" xr:uid="{0180A86F-12A3-4151-982C-FD5069E7443A}"/>
    <cellStyle name="Rpt Hipervínculo Texto:-" xfId="77" xr:uid="{8DF1B928-5F9A-4ED7-A7D2-423C0929B331}"/>
    <cellStyle name="Rpt Hipervínculo visitado:-" xfId="78" xr:uid="{559CEBDA-C792-437A-9265-CA15058778B5}"/>
    <cellStyle name="Rpt Moneda:-" xfId="79" xr:uid="{0126DFE1-C6DB-40D7-83C8-A50D8BC5F71A}"/>
    <cellStyle name="Rpt Múltiple:-" xfId="80" xr:uid="{74A94D0B-5DD7-4AFC-B804-57F1AEB4010C}"/>
    <cellStyle name="Rpt Nombre Modelo:-" xfId="81" xr:uid="{76798CB5-6D57-4CDB-9AA4-EF8F78CD8B6D}"/>
    <cellStyle name="Rpt Normal:-" xfId="82" xr:uid="{9C525498-535A-4957-A291-EDCE0C767B6E}"/>
    <cellStyle name="Rpt Número Sección:-" xfId="83" xr:uid="{DB663C60-0D91-4B77-AE98-A11BB92E324F}"/>
    <cellStyle name="Rpt Número:-" xfId="84" xr:uid="{D37AA77E-BDEA-4E2B-9A8A-D37D8BEEE573}"/>
    <cellStyle name="Rpt Porcentaje:-" xfId="85" xr:uid="{6FAEA644-A860-49EF-A4DC-7D55B41AF98F}"/>
    <cellStyle name="Rpt Sub Total:-" xfId="86" xr:uid="{7AF4C0C0-48F8-450D-A835-25CC3A0DE0A0}"/>
    <cellStyle name="Rpt Subtítulo período:-" xfId="87" xr:uid="{BC6475A6-0767-4E72-8DEF-EBCC75DC7C82}"/>
    <cellStyle name="Rpt Subtotal:-" xfId="88" xr:uid="{C0D0020B-7549-490F-901B-A656E842847F}"/>
    <cellStyle name="Rpt TDC 1:-" xfId="89" xr:uid="{F4CCAE80-FA8C-4691-9F9C-0BB56DC45B7F}"/>
    <cellStyle name="Rpt TDC 2:-" xfId="90" xr:uid="{559C98EE-D410-47DF-836C-B330F5123C20}"/>
    <cellStyle name="Rpt TDC 3:-" xfId="91" xr:uid="{89DB3460-5644-4300-844F-047372E712F0}"/>
    <cellStyle name="Rpt TDC 4:-" xfId="92" xr:uid="{5C2EB3D9-2B0C-4A5A-BF26-4FC562593DB2}"/>
    <cellStyle name="Rpt Título 1 Período:-" xfId="93" xr:uid="{84C3E3BE-BDCA-4086-A3D5-B0D48D26BECB}"/>
    <cellStyle name="Rpt Título 2 Período:-" xfId="94" xr:uid="{35C17A11-BABC-45FD-AA9F-8B107FBBAE8C}"/>
    <cellStyle name="Rpt Título Hoja:-" xfId="95" xr:uid="{E3902A81-99BE-475D-B1C4-2E86C9493E2A}"/>
    <cellStyle name="Rpt Total:-" xfId="96" xr:uid="{18C584D9-5009-4DBA-82CE-BC3501607AF1}"/>
    <cellStyle name="Rtp Número Indicador:-" xfId="97" xr:uid="{420CC440-65AC-4F93-B0E0-130379836275}"/>
    <cellStyle name="Salida" xfId="14" builtinId="21" customBuiltin="1"/>
    <cellStyle name="Sub Total:-" xfId="98" xr:uid="{B264B911-5117-4AD2-A21D-B13300403C50}"/>
    <cellStyle name="Supuesto Año:-" xfId="99" xr:uid="{32CCB803-9103-4F9A-8E79-339F778803A9}"/>
    <cellStyle name="Supuesto Celda Desbl:-" xfId="100" xr:uid="{D606B988-3D5E-4B85-AF64-D87388D97434}"/>
    <cellStyle name="Supuesto Columna :-" xfId="101" xr:uid="{C0691131-F5C3-4495-AF0D-E83D94B6BC32}"/>
    <cellStyle name="Supuesto Fecha:-" xfId="102" xr:uid="{4BABA130-0CE0-47D9-A5C9-BBC15A670AB0}"/>
    <cellStyle name="Supuesto Indicador número:-" xfId="103" xr:uid="{E8FB68A8-4162-4974-8F40-6F85259BE19B}"/>
    <cellStyle name="Supuesto Moneda:-" xfId="104" xr:uid="{F2DCABE9-ADA3-4C0B-8DE3-76493E72034F}"/>
    <cellStyle name="Supuesto Múltiple:-" xfId="105" xr:uid="{53AD8F54-D497-4B9F-9C99-74895116FADA}"/>
    <cellStyle name="Supuesto Número:-" xfId="106" xr:uid="{7AB81473-6A6F-416E-A669-C40AA677E827}"/>
    <cellStyle name="Supuesto Porcentaje:-" xfId="107" xr:uid="{A2D907F5-042A-464D-9EE8-02E549BA2F49}"/>
    <cellStyle name="Supuesto Texto:-" xfId="108" xr:uid="{C73763F4-2174-4324-A690-E35664EF9875}"/>
    <cellStyle name="Tabla Búsqueda Encabezado- 2" xfId="117" xr:uid="{5C91823C-9F39-43A4-B5AE-56CE76E8771A}"/>
    <cellStyle name="Tabla Búsqueda Encabezado:-" xfId="109" xr:uid="{663CCE37-5711-43AE-B575-710D0246E702}"/>
    <cellStyle name="Tabla Búsqueda Etiqueta- 2" xfId="118" xr:uid="{FE4DC3CB-7437-4DBF-9D63-25275B7C7A70}"/>
    <cellStyle name="Tabla Búsqueda Etiqueta:-" xfId="110" xr:uid="{3EE17B14-E104-4A56-8AAE-5A7BCF9F3766}"/>
    <cellStyle name="Tabla Búsqueda Número- 2" xfId="119" xr:uid="{58E0AD6F-EE24-46A4-8914-51C43CBA33EF}"/>
    <cellStyle name="Tabla Búsqueda Número:-" xfId="111" xr:uid="{901A63F5-D2AF-4988-AAAA-8E23041BB47B}"/>
    <cellStyle name="Texto de advertencia" xfId="18" builtinId="11" customBuiltin="1"/>
    <cellStyle name="Texto explicativo" xfId="20" builtinId="53" customBuiltin="1"/>
    <cellStyle name="Título" xfId="8" builtinId="15" customBuiltin="1"/>
    <cellStyle name="Título 2" xfId="10" builtinId="17" customBuiltin="1"/>
    <cellStyle name="Título 3" xfId="11" builtinId="18" customBuiltin="1"/>
    <cellStyle name="Título Hoja:-" xfId="112" xr:uid="{DB2FFEA9-B6C4-4410-920B-FFE90B4B1B38}"/>
    <cellStyle name="Título Período:-" xfId="113" xr:uid="{C3BA69C8-F8EC-41DC-A80D-7C58F1EED2D5}"/>
    <cellStyle name="Total" xfId="21" builtinId="25" customBuiltin="1"/>
  </cellStyles>
  <dxfs count="31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border>
        <left style="thin">
          <color theme="4"/>
        </left>
      </border>
    </dxf>
    <dxf>
      <border>
        <left style="thin">
          <color theme="4"/>
        </left>
      </border>
    </dxf>
    <dxf>
      <border>
        <top style="thin">
          <color theme="4" tint="-0.499984740745262"/>
        </top>
      </border>
    </dxf>
    <dxf>
      <fill>
        <patternFill>
          <bgColor theme="0" tint="-4.9989318521683403E-2"/>
        </patternFill>
      </fill>
      <border>
        <top style="thin">
          <color theme="4" tint="-0.499984740745262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 tint="-0.499984740745262"/>
          <bgColor theme="4" tint="-0.499984740745262"/>
        </patternFill>
      </fill>
    </dxf>
    <dxf>
      <font>
        <color theme="1"/>
      </font>
      <border>
        <left style="thin">
          <color theme="4" tint="-0.499984740745262"/>
        </left>
        <right style="thin">
          <color theme="4" tint="-0.499984740745262"/>
        </right>
        <top style="thin">
          <color theme="4" tint="-0.499984740745262"/>
        </top>
        <bottom style="thin">
          <color theme="4" tint="-0.499984740745262"/>
        </bottom>
        <horizontal style="thin">
          <color theme="4" tint="-0.499984740745262"/>
        </horizontal>
      </border>
    </dxf>
    <dxf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 tint="0.39997558519241921"/>
        </bottom>
      </border>
    </dxf>
    <dxf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 tint="0.39997558519241921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4" tint="0.39997558519241921"/>
        </bottom>
      </border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ont>
        <b/>
        <color theme="1"/>
      </font>
      <border>
        <top style="thin">
          <color theme="4"/>
        </top>
        <bottom style="double">
          <color theme="4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top style="thin">
          <color theme="4"/>
        </top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bottom style="thin">
          <color theme="4" tint="0.39997558519241921"/>
        </bottom>
      </border>
    </dxf>
  </dxfs>
  <tableStyles count="2" defaultTableStyle="TableStyleLight9" defaultPivotStyle="PivotStyleLight16">
    <tableStyle name="Estilo EEFF" table="0" count="11" xr9:uid="{96E9D48A-BA15-4711-AD83-25D3726E8051}">
      <tableStyleElement type="headerRow" dxfId="30"/>
      <tableStyleElement type="totalRow" dxfId="29"/>
      <tableStyleElement type="firstRowStripe" dxfId="28"/>
      <tableStyleElement type="firstColumnStripe" dxfId="27"/>
      <tableStyleElement type="firstSubtotalColumn" dxfId="26"/>
      <tableStyleElement type="firstSubtotalRow" dxfId="25"/>
      <tableStyleElement type="secondSubtotalRow" dxfId="24"/>
      <tableStyleElement type="firstRowSubheading" dxfId="23"/>
      <tableStyleElement type="secondRowSubheading" dxfId="22"/>
      <tableStyleElement type="pageFieldLabels" dxfId="21"/>
      <tableStyleElement type="pageFieldValues" dxfId="20"/>
    </tableStyle>
    <tableStyle name="TablaOscura" pivot="0" count="9" xr9:uid="{71C5F750-EAA9-444A-BBC0-35F575665C0D}">
      <tableStyleElement type="wholeTable" dxfId="19"/>
      <tableStyleElement type="headerRow" dxfId="18"/>
      <tableStyleElement type="totalRow" dxfId="17"/>
      <tableStyleElement type="firstColumn" dxfId="16"/>
      <tableStyleElement type="lastColumn" dxfId="15"/>
      <tableStyleElement type="firstRowStripe" dxfId="14"/>
      <tableStyleElement type="secondRowStripe" dxfId="13"/>
      <tableStyleElement type="firstColumnStripe" dxfId="12"/>
      <tableStyleElement type="secondColumnStripe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1389D0-2D7E-46FD-BA87-A7B4BC682C18}" name="TablaConvencionPowerQuery" displayName="TablaConvencionPowerQuery" ref="F30:F31" totalsRowShown="0">
  <autoFilter ref="F30:F31" xr:uid="{549247B5-7A08-421E-81CD-5F9CE9EC8B7A}"/>
  <tableColumns count="1">
    <tableColumn id="1" xr3:uid="{D242DF2E-D54A-493D-9553-0D73216A05F1}" name="Encabezado"/>
  </tableColumns>
  <tableStyleInfo name="TableStyleLight11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CB1306D-1CFA-4FBE-AB0B-7F824B55C847}" name="TablaConvencionIngresoDatos" displayName="TablaConvencionIngresoDatos" ref="F27:F28" totalsRowShown="0">
  <autoFilter ref="F27:F28" xr:uid="{75290D30-AD3A-4698-9D48-81950B9893C6}"/>
  <tableColumns count="1">
    <tableColumn id="1" xr3:uid="{D31D2D6A-5FC3-4320-84A4-ABF1C7562AC0}" name="Encabezado"/>
  </tableColumns>
  <tableStyleInfo name="TableStyleLight9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8C902B-D1A9-40BC-95C4-CFF65A30BB0F}" name="TablaPlanDesarrollo" displayName="TablaPlanDesarrollo" ref="B6:O23" insertRowShift="1" totalsRowShown="0" dataDxfId="10">
  <autoFilter ref="B6:O23" xr:uid="{EF2411D2-AA70-4C8D-8F82-D6535AF217EA}"/>
  <tableColumns count="14">
    <tableColumn id="1" xr3:uid="{2F041D64-90CD-45E1-A162-7723774C2BC3}" name="Ciclo" dataDxfId="9"/>
    <tableColumn id="10" xr3:uid="{AE331CE7-E955-43ED-9F57-58E02F73913B}" name="Categoría" dataDxfId="8"/>
    <tableColumn id="2" xr3:uid="{0C6FD16C-F686-44DD-8C1A-04A1FBAFCD97}" name="Subcategoría" dataDxfId="7"/>
    <tableColumn id="9" xr3:uid="{626D5269-A713-473F-B7AA-87AE48BB7246}" name="Acción" dataDxfId="6"/>
    <tableColumn id="3" xr3:uid="{C6169163-65E1-4A96-9BDB-7A192FB0E175}" name="Característica" dataDxfId="5"/>
    <tableColumn id="11" xr3:uid="{16E9D36B-3FCD-4570-98E4-929ED8FF0F89}" name="Subcaracterística" dataDxfId="4"/>
    <tableColumn id="4" xr3:uid="{6DB0B996-CD58-41C2-B94B-5354FE4BA0AC}" name="Estado" dataDxfId="3"/>
    <tableColumn id="12" xr3:uid="{B3111DA8-D466-40B4-8D76-7D52A0F20C86}" name="Horas asignadas" dataDxfId="2"/>
    <tableColumn id="5" xr3:uid="{9854CDAF-7F53-49E5-B697-F165D01F56AC}" name="Comentarios" dataDxfId="1"/>
    <tableColumn id="6" xr3:uid="{4AE7268B-4C13-4849-87D8-1BE9D0E8D7D8}" name="Fecha de inicio" dataCellStyle="Fecha hora:-"/>
    <tableColumn id="14" xr3:uid="{EE6807B4-DF17-43A4-984D-5DCE7125A91C}" name="Fecha completada" dataCellStyle="Fecha hora:-"/>
    <tableColumn id="13" xr3:uid="{B2703484-DE3F-4F43-88E1-1ACF5685CDC7}" name="Completada en versión2" dataDxfId="0"/>
    <tableColumn id="7" xr3:uid="{BE349913-FA9F-4D8C-91EA-E77BE4C466F5}" name="Peso del archivo" dataCellStyle="Número:-"/>
    <tableColumn id="8" xr3:uid="{379BF59B-F94C-4039-A3F6-B3850CD891BC}" name="Tiempo cálculo total" dataCellStyle="Número:-"/>
  </tableColumns>
  <tableStyleInfo name="TableStyleLight9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7748F4C-2A55-4747-B11C-78EDD8FCDF94}" name="TablaEstado" displayName="TablaEstado" ref="E8:E13" totalsRowShown="0">
  <autoFilter ref="E8:E13" xr:uid="{BAEC672B-8A14-4B29-A99B-E343DA360288}"/>
  <tableColumns count="1">
    <tableColumn id="1" xr3:uid="{A1B9DFEA-4D69-4D2D-98F2-3C33170896B5}" name="Estado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63500A7-C264-4888-9EF8-7294BED89809}" name="TablaTipoVersion" displayName="TablaTipoVersion" ref="E17:E21" totalsRowShown="0">
  <autoFilter ref="E17:E21" xr:uid="{5FDDC0BB-FF8A-48FC-9725-49FB2821A7F0}"/>
  <tableColumns count="1">
    <tableColumn id="1" xr3:uid="{F9D47A8A-46D1-417A-89CA-09AF5AC1640A}" name="Tipo de versión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D763837-1330-4EDB-B96F-59E5BE8B95B9}" name="TablaAccionDesarrollo" displayName="TablaAccionDesarrollo" ref="E25:E29" totalsRowShown="0">
  <autoFilter ref="E25:E29" xr:uid="{8C2D450E-80C3-4B20-839D-B570FE014423}"/>
  <tableColumns count="1">
    <tableColumn id="1" xr3:uid="{83A08185-A0B5-408C-BAC2-086E0E7C4A97}" name="Acción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4585C39-6083-455B-970F-100B51345B5F}" name="TablaMes" displayName="TablaMes" ref="E66:F78" totalsRowShown="0">
  <autoFilter ref="E66:F78" xr:uid="{B0F55300-A663-430E-90A8-E917B002CC2F}"/>
  <tableColumns count="2">
    <tableColumn id="1" xr3:uid="{A29ECAF1-B78B-4CB4-987A-7ED04234A014}" name="Nombre mes"/>
    <tableColumn id="2" xr3:uid="{12B5D2C6-6A31-40DB-A04F-A5CAF4E1C3A0}" name="Número mes"/>
  </tableColumns>
  <tableStyleInfo name="TableStyleLight9" showFirstColumn="0" showLastColumn="0" showRowStripes="1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1520F7C-4472-436C-A08E-AEF0F1BD4B60}" name="TablaUltimoMesHistorico" displayName="TablaUltimoMesHistorico" ref="E89:E101" totalsRowShown="0">
  <autoFilter ref="E89:E101" xr:uid="{566C06C2-166B-4DF8-8BA6-AB295C30B45A}"/>
  <tableColumns count="1">
    <tableColumn id="1" xr3:uid="{DC4FB4C3-4BEF-47F6-9976-30847C9CE512}" name="Último mes histórico">
      <calculatedColumnFormula>EDATE(DATE(PA_Primer_Ano_Fin,1,1),ROWS($E$65:E90)-PA_Primer_Ano_Hist)</calculatedColumnFormula>
    </tableColumn>
  </tableColumns>
  <tableStyleInfo name="TableStyleLight9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BAC3B5A-7EDB-486C-BB93-B20D5E0F4661}" name="TablaPeriodosEnPeriodo" displayName="TablaPeriodosEnPeriodo" ref="E105:E107" totalsRowShown="0">
  <autoFilter ref="E105:E107" xr:uid="{6B092F74-0A03-4C42-8D3E-F333C71B48E1}"/>
  <tableColumns count="1">
    <tableColumn id="1" xr3:uid="{860611A4-7C01-4800-A01A-9A1665636005}" name="Períodos"/>
  </tableColumns>
  <tableStyleInfo name="TableStyleLight9" showFirstColumn="0" showLastColumn="0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7374832-3957-4F2B-AEBA-571143303922}" name="TablaPrimerAnoHistorico" displayName="TablaPrimerAnoHistorico" ref="E83:E85" totalsRowShown="0">
  <autoFilter ref="E83:E85" xr:uid="{5A51781B-E021-44FA-A456-C630EA5787B7}"/>
  <tableColumns count="1">
    <tableColumn id="1" xr3:uid="{C6101478-BFF9-4081-A1AA-F0C9BF0DCD54}" name="Año">
      <calculatedColumnFormula>PA_Primer_Ano_Fin-ROWS(E$26:E84)+1</calculatedColumnFormula>
    </tableColumn>
  </tableColumns>
  <tableStyleInfo name="TableStyleLight9" showFirstColumn="0" showLastColumn="0" showRowStripes="1" showColumnStripes="1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FE805D0-E457-44FF-BFA8-00D2493AD5A0}" name="TablaConvDenominacion" displayName="TablaConvDenominacion" ref="E113:G117" totalsRowShown="0">
  <autoFilter ref="E113:G117" xr:uid="{8EF5B100-2714-4919-9FB4-DCC9C8FA65CC}"/>
  <tableColumns count="3">
    <tableColumn id="1" xr3:uid="{F691D87C-574D-4AC7-82B9-0DDBE37EFC98}" name="Factor conversión"/>
    <tableColumn id="2" xr3:uid="{74F1B5B1-AED5-4580-BE02-01AF21FFCFD7}" name="Conversión"/>
    <tableColumn id="3" xr3:uid="{0ED52CDC-8989-4151-B0A1-169BFEC79AF3}" name="Descripción"/>
  </tableColumns>
  <tableStyleInfo name="TableStyleLight9" showFirstColumn="0" showLastColumn="0" showRowStripes="1" showColumnStripes="1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B2530F3-54F9-485F-96F2-EE67F9985A51}" name="TablaConceptoIndicadores" displayName="TablaConceptoIndicadores" ref="E121:E125" totalsRowShown="0">
  <autoFilter ref="E121:E125" xr:uid="{2A34AD21-61E5-4E4E-A3D1-12615C1CBA55}"/>
  <sortState xmlns:xlrd2="http://schemas.microsoft.com/office/spreadsheetml/2017/richdata2" ref="E122:E124">
    <sortCondition ref="E94:E97"/>
  </sortState>
  <tableColumns count="1">
    <tableColumn id="1" xr3:uid="{ADF6EFCD-1608-4A7C-BA38-0ABDE83D3BD4}" name="Concepto"/>
  </tableColumns>
  <tableStyleInfo name="TableStyleLight9" showFirstColumn="0" showLastColumn="0" showRowStripes="1" showColumnStripes="1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031133B-3456-40ED-AE0A-FCE2768F9334}" name="TablaTipoCuentaPUC" displayName="TablaTipoCuentaPUC" ref="E129:E131" totalsRowShown="0">
  <autoFilter ref="E129:E131" xr:uid="{FA17E585-127B-4D03-BC44-4F3E31AC8DCD}"/>
  <tableColumns count="1">
    <tableColumn id="1" xr3:uid="{47989076-B5F6-4427-9BE5-6D91AE2B98D2}" name="Tipo"/>
  </tableColumns>
  <tableStyleInfo name="TableStyleLight9" showFirstColumn="0" showLastColumn="0" showRowStripes="1" showColumnStripes="1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6756BC7-3C2D-44FD-A5D5-BD53B1DADAB3}" name="TablaModulo" displayName="TablaModulo" ref="E41:G56" totalsRowShown="0">
  <autoFilter ref="E41:G56" xr:uid="{2C2D3AEB-1D6F-402D-816A-5472B0905EB2}"/>
  <tableColumns count="3">
    <tableColumn id="1" xr3:uid="{06DF484E-7892-4173-A968-603D4E6DCBB6}" name="Nombre hoja VBA"/>
    <tableColumn id="2" xr3:uid="{1E05F136-E981-401B-AC73-57884A2538CB}" name="Nombre hoja"/>
    <tableColumn id="3" xr3:uid="{5E1BD1B3-7B30-4F42-92E0-50E260A4A2F5}" name="Título"/>
  </tableColumns>
  <tableStyleInfo name="TableStyleLight9" showFirstColumn="0" showLastColumn="0" showRowStripes="1" showColumnStripes="1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F6243F3-7055-4FE4-A611-F51C8B766E0C}" name="TablaModalidadInteresCapital" displayName="TablaModalidadInteresCapital" ref="E135:F137" totalsRowShown="0">
  <autoFilter ref="E135:F137" xr:uid="{ECF1C037-DFE1-49EC-A8CA-4BC23390198B}"/>
  <tableColumns count="2">
    <tableColumn id="1" xr3:uid="{570EFC7F-5C71-4F72-B725-07B3E92FA6AF}" name="Modalidad"/>
    <tableColumn id="2" xr3:uid="{FE077EF1-057F-49A0-AD5F-E0EAAA85BA70}" name="Valor"/>
  </tableColumns>
  <tableStyleInfo name="TableStyleLight9" showFirstColumn="0" showLastColumn="0" showRowStripes="1" showColumnStripes="1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E980845-41B3-4A68-93F6-415CE9978F94}" name="TablaOpcionSiNo" displayName="TablaOpcionSiNo" ref="E33:F35" totalsRowShown="0">
  <autoFilter ref="E33:F35" xr:uid="{788A53DB-CD50-4548-89F8-F98115CEE475}"/>
  <tableColumns count="2">
    <tableColumn id="1" xr3:uid="{95E19EDE-351D-4E47-BAD0-681140E54BE0}" name="Opción"/>
    <tableColumn id="2" xr3:uid="{95C263A2-4CAC-441D-9378-C725C060F1BF}" name="Valor"/>
  </tableColumns>
  <tableStyleInfo name="TableStyleLight9" showFirstColumn="0" showLastColumn="0" showRowStripes="1" showColumnStripes="1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2219F97-083F-41A0-BA34-CA8F2D627A28}" name="TablaTipoCreditoPlazo" displayName="TablaTipoCreditoPlazo" ref="E141:E143" totalsRowShown="0">
  <autoFilter ref="E141:E143" xr:uid="{FBAD4E80-D890-4AF9-B485-3B439C826B60}"/>
  <tableColumns count="1">
    <tableColumn id="1" xr3:uid="{2EC56805-BD7D-4C21-8C74-3573B926BBE4}" name="Tipo de crédito"/>
  </tableColumns>
  <tableStyleInfo name="TableStyleLight9" showFirstColumn="0" showLastColumn="0" showRowStripes="1" showColumnStripes="1"/>
</table>
</file>

<file path=xl/theme/theme1.xml><?xml version="1.0" encoding="utf-8"?>
<a:theme xmlns:a="http://schemas.openxmlformats.org/drawingml/2006/main" name="TemaModeloFormal">
  <a:themeElements>
    <a:clrScheme name="Verde formal">
      <a:dk1>
        <a:sysClr val="windowText" lastClr="000000"/>
      </a:dk1>
      <a:lt1>
        <a:sysClr val="window" lastClr="FFFFFF"/>
      </a:lt1>
      <a:dk2>
        <a:srgbClr val="000000"/>
      </a:dk2>
      <a:lt2>
        <a:srgbClr val="E9EAEA"/>
      </a:lt2>
      <a:accent1>
        <a:srgbClr val="265E35"/>
      </a:accent1>
      <a:accent2>
        <a:srgbClr val="333A56"/>
      </a:accent2>
      <a:accent3>
        <a:srgbClr val="773344"/>
      </a:accent3>
      <a:accent4>
        <a:srgbClr val="C0C5C1"/>
      </a:accent4>
      <a:accent5>
        <a:srgbClr val="7D8491"/>
      </a:accent5>
      <a:accent6>
        <a:srgbClr val="E35856"/>
      </a:accent6>
      <a:hlink>
        <a:srgbClr val="308DBB"/>
      </a:hlink>
      <a:folHlink>
        <a:srgbClr val="915B97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2" Type="http://schemas.openxmlformats.org/officeDocument/2006/relationships/table" Target="../tables/table4.xml"/><Relationship Id="rId16" Type="http://schemas.openxmlformats.org/officeDocument/2006/relationships/comments" Target="../comments1.xml"/><Relationship Id="rId1" Type="http://schemas.openxmlformats.org/officeDocument/2006/relationships/vmlDrawing" Target="../drawings/vmlDrawing1.vml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4CB0F-1986-4627-9E50-19D63FA33135}">
  <sheetPr codeName="Portada"/>
  <dimension ref="B2:L31"/>
  <sheetViews>
    <sheetView showGridLines="0" workbookViewId="0">
      <selection sqref="A1:A1048576"/>
    </sheetView>
  </sheetViews>
  <sheetFormatPr baseColWidth="10" defaultRowHeight="12" outlineLevelCol="1" x14ac:dyDescent="0.2"/>
  <cols>
    <col min="1" max="1" width="3.83203125" customWidth="1"/>
    <col min="2" max="4" width="4.83203125" customWidth="1"/>
    <col min="5" max="5" width="17.33203125" customWidth="1"/>
    <col min="6" max="6" width="25" customWidth="1"/>
    <col min="7" max="7" width="3.83203125" customWidth="1"/>
    <col min="8" max="12" width="12" outlineLevel="1"/>
  </cols>
  <sheetData>
    <row r="2" spans="2:12" x14ac:dyDescent="0.2">
      <c r="B2" s="4" t="s">
        <v>0</v>
      </c>
      <c r="C2" s="4"/>
      <c r="D2" s="4"/>
      <c r="E2" s="4"/>
      <c r="F2" s="4"/>
      <c r="H2" s="2" t="s">
        <v>2</v>
      </c>
    </row>
    <row r="4" spans="2:12" x14ac:dyDescent="0.2">
      <c r="B4" s="3" t="s">
        <v>1</v>
      </c>
    </row>
    <row r="6" spans="2:12" x14ac:dyDescent="0.2">
      <c r="B6" s="1" t="s">
        <v>4</v>
      </c>
      <c r="C6" s="1"/>
      <c r="D6" s="1"/>
      <c r="E6" s="1"/>
    </row>
    <row r="7" spans="2:12" x14ac:dyDescent="0.2">
      <c r="B7" s="1" t="s">
        <v>3</v>
      </c>
      <c r="C7" s="1"/>
      <c r="D7" s="1"/>
      <c r="E7" s="1"/>
      <c r="F7" s="16"/>
    </row>
    <row r="9" spans="2:12" x14ac:dyDescent="0.2">
      <c r="B9" s="3" t="s">
        <v>5</v>
      </c>
    </row>
    <row r="10" spans="2:12" x14ac:dyDescent="0.2">
      <c r="K10" s="26" t="s">
        <v>51</v>
      </c>
      <c r="L10" s="26"/>
    </row>
    <row r="11" spans="2:12" x14ac:dyDescent="0.2">
      <c r="B11" s="5" t="s">
        <v>6</v>
      </c>
      <c r="C11" s="1"/>
      <c r="D11" s="1"/>
      <c r="E11" s="1"/>
      <c r="F11" s="6" t="s">
        <v>13</v>
      </c>
      <c r="H11" t="s">
        <v>11</v>
      </c>
      <c r="K11" s="27" t="s">
        <v>15</v>
      </c>
      <c r="L11" s="24" t="s">
        <v>84</v>
      </c>
    </row>
    <row r="12" spans="2:12" x14ac:dyDescent="0.2">
      <c r="B12" s="5" t="s">
        <v>7</v>
      </c>
      <c r="C12" s="1"/>
      <c r="D12" s="1"/>
      <c r="E12" s="1"/>
      <c r="F12" s="6" t="s">
        <v>83</v>
      </c>
      <c r="H12" t="s">
        <v>12</v>
      </c>
      <c r="K12" s="27" t="s">
        <v>52</v>
      </c>
      <c r="L12" s="24" t="s">
        <v>85</v>
      </c>
    </row>
    <row r="13" spans="2:12" x14ac:dyDescent="0.2">
      <c r="B13" s="5" t="s">
        <v>8</v>
      </c>
      <c r="C13" s="1"/>
      <c r="D13" s="1"/>
      <c r="E13" s="1"/>
      <c r="F13" s="6" t="s">
        <v>13</v>
      </c>
      <c r="H13" t="s">
        <v>14</v>
      </c>
      <c r="K13" s="27" t="s">
        <v>53</v>
      </c>
      <c r="L13" s="24" t="s">
        <v>86</v>
      </c>
    </row>
    <row r="14" spans="2:12" x14ac:dyDescent="0.2">
      <c r="B14" s="5" t="s">
        <v>9</v>
      </c>
      <c r="C14" s="1"/>
      <c r="D14" s="1"/>
      <c r="E14" s="1"/>
      <c r="F14" s="7" t="s">
        <v>15</v>
      </c>
      <c r="H14" t="s">
        <v>16</v>
      </c>
      <c r="K14" s="27" t="s">
        <v>54</v>
      </c>
      <c r="L14" s="24" t="s">
        <v>87</v>
      </c>
    </row>
    <row r="15" spans="2:12" ht="60" customHeight="1" x14ac:dyDescent="0.2">
      <c r="B15" s="5" t="s">
        <v>10</v>
      </c>
      <c r="C15" s="1"/>
      <c r="D15" s="1"/>
      <c r="E15" s="1"/>
      <c r="F15" s="8" t="s">
        <v>17</v>
      </c>
      <c r="H15" s="9" t="s">
        <v>18</v>
      </c>
    </row>
    <row r="17" spans="2:8" x14ac:dyDescent="0.2">
      <c r="B17" s="3" t="s">
        <v>19</v>
      </c>
    </row>
    <row r="19" spans="2:8" x14ac:dyDescent="0.2">
      <c r="B19" t="s">
        <v>20</v>
      </c>
      <c r="F19" s="10" t="s">
        <v>21</v>
      </c>
    </row>
    <row r="20" spans="2:8" x14ac:dyDescent="0.2">
      <c r="B20" t="s">
        <v>22</v>
      </c>
      <c r="F20" s="11" t="s">
        <v>21</v>
      </c>
    </row>
    <row r="21" spans="2:8" x14ac:dyDescent="0.2">
      <c r="B21" t="s">
        <v>23</v>
      </c>
      <c r="F21" s="12" t="s">
        <v>21</v>
      </c>
    </row>
    <row r="22" spans="2:8" x14ac:dyDescent="0.2">
      <c r="B22" t="s">
        <v>24</v>
      </c>
      <c r="F22" s="13" t="s">
        <v>21</v>
      </c>
    </row>
    <row r="23" spans="2:8" x14ac:dyDescent="0.2">
      <c r="B23" t="s">
        <v>25</v>
      </c>
      <c r="F23" s="14" t="s">
        <v>21</v>
      </c>
    </row>
    <row r="25" spans="2:8" x14ac:dyDescent="0.2">
      <c r="B25" t="s">
        <v>26</v>
      </c>
      <c r="F25" s="15" t="str">
        <f>"Fórmula"</f>
        <v>Fórmula</v>
      </c>
      <c r="H25" t="s">
        <v>27</v>
      </c>
    </row>
    <row r="27" spans="2:8" x14ac:dyDescent="0.2">
      <c r="B27" t="s">
        <v>40</v>
      </c>
      <c r="F27" t="s">
        <v>38</v>
      </c>
    </row>
    <row r="28" spans="2:8" x14ac:dyDescent="0.2">
      <c r="F28" t="s">
        <v>39</v>
      </c>
    </row>
    <row r="30" spans="2:8" x14ac:dyDescent="0.2">
      <c r="B30" t="s">
        <v>37</v>
      </c>
      <c r="F30" t="s">
        <v>38</v>
      </c>
    </row>
    <row r="31" spans="2:8" x14ac:dyDescent="0.2">
      <c r="F31" t="s">
        <v>39</v>
      </c>
    </row>
  </sheetData>
  <dataValidations count="1">
    <dataValidation type="list" allowBlank="1" showInputMessage="1" showErrorMessage="1" sqref="F14" xr:uid="{FE94F515-BFC1-4159-A958-9DF7C6BE0B31}">
      <formula1>LI_Gen_Tipo_Version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FFC24-FFF6-4AFF-BEE2-9A29FC473831}">
  <sheetPr codeName="Blanco1"/>
  <dimension ref="B1:P4"/>
  <sheetViews>
    <sheetView showGridLines="0" workbookViewId="0">
      <selection activeCell="J4" sqref="J4:P4"/>
    </sheetView>
  </sheetViews>
  <sheetFormatPr baseColWidth="10" defaultRowHeight="12" x14ac:dyDescent="0.2"/>
  <cols>
    <col min="1" max="1" width="3.83203125" style="24" customWidth="1"/>
    <col min="2" max="5" width="4.83203125" style="24" customWidth="1"/>
    <col min="6" max="6" width="18.83203125" style="24" customWidth="1"/>
    <col min="7" max="8" width="15.83203125" style="24" customWidth="1"/>
    <col min="9" max="9" width="3.83203125" style="24" customWidth="1"/>
    <col min="10" max="10" width="25.83203125" style="24" customWidth="1"/>
    <col min="11" max="11" width="3.83203125" style="24" customWidth="1"/>
    <col min="12" max="12" width="65.83203125" style="24" customWidth="1"/>
    <col min="13" max="13" width="12" style="24"/>
    <col min="14" max="14" width="65.83203125" style="24" customWidth="1"/>
    <col min="15" max="16384" width="12" style="24"/>
  </cols>
  <sheetData>
    <row r="1" spans="2:16" ht="15" x14ac:dyDescent="0.2">
      <c r="B1" s="28" t="s">
        <v>62</v>
      </c>
    </row>
    <row r="4" spans="2:16" x14ac:dyDescent="0.2">
      <c r="J4" s="2" t="s">
        <v>2</v>
      </c>
      <c r="L4" s="2" t="s">
        <v>10</v>
      </c>
      <c r="N4" s="2" t="s">
        <v>91</v>
      </c>
      <c r="P4" s="2" t="s">
        <v>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3C1AE-315D-4EC9-ADDE-5AC0B006850B}">
  <sheetPr codeName="Bitacora"/>
  <dimension ref="B2:O23"/>
  <sheetViews>
    <sheetView showGridLines="0" tabSelected="1" workbookViewId="0">
      <selection activeCell="F11" sqref="F11"/>
    </sheetView>
  </sheetViews>
  <sheetFormatPr baseColWidth="10" defaultRowHeight="12" x14ac:dyDescent="0.2"/>
  <cols>
    <col min="1" max="1" width="3.83203125" customWidth="1"/>
    <col min="2" max="2" width="9.83203125" customWidth="1"/>
    <col min="3" max="4" width="25.83203125" customWidth="1"/>
    <col min="5" max="5" width="13.83203125" customWidth="1"/>
    <col min="6" max="7" width="25.83203125" customWidth="1"/>
    <col min="8" max="9" width="13.83203125" customWidth="1"/>
    <col min="10" max="10" width="60.83203125" customWidth="1"/>
    <col min="11" max="13" width="17" customWidth="1"/>
    <col min="14" max="14" width="24.6640625" customWidth="1"/>
    <col min="15" max="15" width="27.1640625" customWidth="1"/>
  </cols>
  <sheetData>
    <row r="2" spans="2:15" x14ac:dyDescent="0.2">
      <c r="B2" s="4" t="s">
        <v>88</v>
      </c>
      <c r="C2" s="4"/>
      <c r="D2" s="4"/>
      <c r="E2" s="4"/>
      <c r="F2" s="4"/>
      <c r="G2" s="4"/>
      <c r="H2" s="4"/>
      <c r="I2" s="4"/>
    </row>
    <row r="4" spans="2:15" x14ac:dyDescent="0.2">
      <c r="B4" s="3" t="s">
        <v>1</v>
      </c>
      <c r="C4" s="3"/>
    </row>
    <row r="6" spans="2:15" x14ac:dyDescent="0.2">
      <c r="B6" t="s">
        <v>57</v>
      </c>
      <c r="C6" t="s">
        <v>30</v>
      </c>
      <c r="D6" t="s">
        <v>31</v>
      </c>
      <c r="E6" t="s">
        <v>41</v>
      </c>
      <c r="F6" t="s">
        <v>28</v>
      </c>
      <c r="G6" t="s">
        <v>66</v>
      </c>
      <c r="H6" t="s">
        <v>29</v>
      </c>
      <c r="I6" t="s">
        <v>74</v>
      </c>
      <c r="J6" t="s">
        <v>10</v>
      </c>
      <c r="K6" t="s">
        <v>76</v>
      </c>
      <c r="L6" t="s">
        <v>77</v>
      </c>
      <c r="M6" t="s">
        <v>75</v>
      </c>
      <c r="N6" t="s">
        <v>32</v>
      </c>
      <c r="O6" t="s">
        <v>56</v>
      </c>
    </row>
    <row r="7" spans="2:15" x14ac:dyDescent="0.2">
      <c r="B7" s="17">
        <v>1</v>
      </c>
      <c r="C7" s="17" t="s">
        <v>33</v>
      </c>
      <c r="D7" s="17" t="s">
        <v>34</v>
      </c>
      <c r="E7" s="17" t="s">
        <v>42</v>
      </c>
      <c r="F7" t="s">
        <v>0</v>
      </c>
      <c r="H7" t="s">
        <v>36</v>
      </c>
      <c r="K7" s="23"/>
      <c r="L7" s="23"/>
    </row>
    <row r="8" spans="2:15" x14ac:dyDescent="0.2">
      <c r="B8" s="17">
        <v>1</v>
      </c>
      <c r="C8" s="17" t="s">
        <v>33</v>
      </c>
      <c r="D8" s="17" t="s">
        <v>34</v>
      </c>
      <c r="E8" s="17" t="s">
        <v>42</v>
      </c>
      <c r="F8" s="17" t="s">
        <v>35</v>
      </c>
      <c r="G8" s="17"/>
      <c r="H8" s="17" t="s">
        <v>36</v>
      </c>
      <c r="I8" s="17"/>
      <c r="J8" s="17"/>
      <c r="K8" s="23"/>
      <c r="L8" s="23"/>
      <c r="M8" s="17"/>
      <c r="N8" s="18"/>
      <c r="O8" s="18"/>
    </row>
    <row r="9" spans="2:15" x14ac:dyDescent="0.2">
      <c r="B9" s="17">
        <v>1</v>
      </c>
      <c r="C9" s="17" t="s">
        <v>33</v>
      </c>
      <c r="D9" s="17" t="s">
        <v>34</v>
      </c>
      <c r="E9" s="17" t="s">
        <v>42</v>
      </c>
      <c r="F9" s="17" t="s">
        <v>43</v>
      </c>
      <c r="G9" s="17"/>
      <c r="H9" s="17" t="s">
        <v>36</v>
      </c>
      <c r="I9" s="17"/>
      <c r="J9" s="17"/>
      <c r="K9" s="23"/>
      <c r="L9" s="23"/>
      <c r="M9" s="17"/>
      <c r="N9" s="18"/>
      <c r="O9" s="18"/>
    </row>
    <row r="10" spans="2:15" x14ac:dyDescent="0.2">
      <c r="B10" s="17">
        <v>1</v>
      </c>
      <c r="C10" s="17" t="s">
        <v>33</v>
      </c>
      <c r="D10" s="17" t="s">
        <v>34</v>
      </c>
      <c r="E10" s="17" t="s">
        <v>42</v>
      </c>
      <c r="F10" s="17" t="s">
        <v>62</v>
      </c>
      <c r="G10" s="17"/>
      <c r="H10" s="17" t="s">
        <v>46</v>
      </c>
      <c r="I10" s="17"/>
      <c r="J10" s="17"/>
      <c r="K10" s="23"/>
      <c r="L10" s="23"/>
      <c r="M10" s="17"/>
      <c r="N10" s="18"/>
      <c r="O10" s="18"/>
    </row>
    <row r="11" spans="2:15" x14ac:dyDescent="0.2">
      <c r="B11" s="17">
        <v>1</v>
      </c>
      <c r="C11" s="17" t="s">
        <v>33</v>
      </c>
      <c r="D11" s="17" t="s">
        <v>34</v>
      </c>
      <c r="E11" s="17" t="s">
        <v>42</v>
      </c>
      <c r="F11" s="17" t="s">
        <v>90</v>
      </c>
      <c r="G11" s="17"/>
      <c r="H11" s="17" t="s">
        <v>46</v>
      </c>
      <c r="I11" s="17"/>
      <c r="J11" s="17"/>
      <c r="K11" s="23"/>
      <c r="L11" s="23"/>
      <c r="M11" s="17"/>
      <c r="N11" s="25"/>
      <c r="O11" s="25"/>
    </row>
    <row r="12" spans="2:15" x14ac:dyDescent="0.2">
      <c r="B12" s="17">
        <v>1</v>
      </c>
      <c r="C12" s="17" t="s">
        <v>33</v>
      </c>
      <c r="D12" s="17" t="s">
        <v>34</v>
      </c>
      <c r="E12" s="17" t="s">
        <v>42</v>
      </c>
      <c r="F12" s="17" t="s">
        <v>88</v>
      </c>
      <c r="G12" s="17"/>
      <c r="H12" s="17" t="s">
        <v>46</v>
      </c>
      <c r="I12" s="17"/>
      <c r="J12" s="17"/>
      <c r="K12" s="23"/>
      <c r="L12" s="23"/>
      <c r="M12" s="17"/>
      <c r="N12" s="18"/>
      <c r="O12" s="18"/>
    </row>
    <row r="13" spans="2:15" x14ac:dyDescent="0.2">
      <c r="B13" s="17">
        <v>2</v>
      </c>
      <c r="C13" s="17" t="s">
        <v>33</v>
      </c>
      <c r="D13" s="17" t="s">
        <v>34</v>
      </c>
      <c r="E13" s="17" t="s">
        <v>42</v>
      </c>
      <c r="F13" s="17" t="s">
        <v>63</v>
      </c>
      <c r="G13" s="17"/>
      <c r="H13" s="17" t="s">
        <v>46</v>
      </c>
      <c r="I13" s="17"/>
      <c r="J13" s="17"/>
      <c r="K13" s="23"/>
      <c r="L13" s="23"/>
      <c r="M13" s="17"/>
      <c r="N13" s="18"/>
      <c r="O13" s="18"/>
    </row>
    <row r="14" spans="2:15" x14ac:dyDescent="0.2">
      <c r="B14" s="17">
        <v>2</v>
      </c>
      <c r="C14" s="17" t="s">
        <v>33</v>
      </c>
      <c r="D14" s="17" t="s">
        <v>80</v>
      </c>
      <c r="E14" s="17" t="s">
        <v>42</v>
      </c>
      <c r="F14" s="17" t="s">
        <v>5</v>
      </c>
      <c r="G14" s="17"/>
      <c r="H14" s="17" t="s">
        <v>46</v>
      </c>
      <c r="I14" s="17"/>
      <c r="J14" s="17"/>
      <c r="K14" s="23"/>
      <c r="L14" s="23"/>
      <c r="M14" s="17"/>
      <c r="N14" s="18"/>
      <c r="O14" s="18"/>
    </row>
    <row r="15" spans="2:15" x14ac:dyDescent="0.2">
      <c r="B15" s="17">
        <v>3</v>
      </c>
      <c r="C15" s="17" t="s">
        <v>33</v>
      </c>
      <c r="D15" s="17" t="s">
        <v>79</v>
      </c>
      <c r="E15" s="17" t="s">
        <v>42</v>
      </c>
      <c r="F15" s="17" t="s">
        <v>64</v>
      </c>
      <c r="G15" s="17"/>
      <c r="H15" s="17" t="s">
        <v>46</v>
      </c>
      <c r="I15" s="17"/>
      <c r="J15" s="17"/>
      <c r="K15" s="23"/>
      <c r="L15" s="23"/>
      <c r="M15" s="17"/>
      <c r="N15" s="18"/>
      <c r="O15" s="18"/>
    </row>
    <row r="16" spans="2:15" x14ac:dyDescent="0.2">
      <c r="B16" s="17">
        <v>3</v>
      </c>
      <c r="C16" s="17" t="s">
        <v>33</v>
      </c>
      <c r="D16" s="17" t="s">
        <v>65</v>
      </c>
      <c r="E16" s="17" t="s">
        <v>42</v>
      </c>
      <c r="F16" s="17" t="s">
        <v>65</v>
      </c>
      <c r="G16" s="17"/>
      <c r="H16" s="17" t="s">
        <v>46</v>
      </c>
      <c r="I16" s="17"/>
      <c r="J16" s="17"/>
      <c r="K16" s="23"/>
      <c r="L16" s="23"/>
      <c r="M16" s="17"/>
      <c r="N16" s="18"/>
      <c r="O16" s="18"/>
    </row>
    <row r="17" spans="2:15" x14ac:dyDescent="0.2">
      <c r="B17" s="17">
        <v>3</v>
      </c>
      <c r="C17" s="17" t="s">
        <v>33</v>
      </c>
      <c r="D17" s="17" t="s">
        <v>65</v>
      </c>
      <c r="E17" s="17" t="s">
        <v>42</v>
      </c>
      <c r="F17" s="17" t="s">
        <v>65</v>
      </c>
      <c r="G17" s="17" t="s">
        <v>67</v>
      </c>
      <c r="H17" s="17" t="s">
        <v>46</v>
      </c>
      <c r="I17" s="17"/>
      <c r="J17" s="17"/>
      <c r="K17" s="23"/>
      <c r="L17" s="23"/>
      <c r="M17" s="17"/>
      <c r="N17" s="18"/>
      <c r="O17" s="18"/>
    </row>
    <row r="18" spans="2:15" x14ac:dyDescent="0.2">
      <c r="B18" s="17">
        <v>3</v>
      </c>
      <c r="C18" s="17" t="s">
        <v>33</v>
      </c>
      <c r="D18" s="17" t="s">
        <v>65</v>
      </c>
      <c r="E18" s="17" t="s">
        <v>42</v>
      </c>
      <c r="F18" s="17" t="s">
        <v>65</v>
      </c>
      <c r="G18" s="17" t="s">
        <v>68</v>
      </c>
      <c r="H18" s="17" t="s">
        <v>46</v>
      </c>
      <c r="I18" s="17"/>
      <c r="J18" s="17"/>
      <c r="K18" s="23"/>
      <c r="L18" s="23"/>
      <c r="M18" s="17"/>
      <c r="N18" s="18"/>
      <c r="O18" s="18"/>
    </row>
    <row r="19" spans="2:15" x14ac:dyDescent="0.2">
      <c r="B19" s="17">
        <v>3</v>
      </c>
      <c r="C19" s="17" t="s">
        <v>33</v>
      </c>
      <c r="D19" s="17" t="s">
        <v>65</v>
      </c>
      <c r="E19" s="17" t="s">
        <v>42</v>
      </c>
      <c r="F19" s="17" t="s">
        <v>65</v>
      </c>
      <c r="G19" s="17" t="s">
        <v>69</v>
      </c>
      <c r="H19" s="17" t="s">
        <v>46</v>
      </c>
      <c r="I19" s="17"/>
      <c r="J19" s="17"/>
      <c r="K19" s="23"/>
      <c r="L19" s="23"/>
      <c r="M19" s="17"/>
      <c r="N19" s="18"/>
      <c r="O19" s="18"/>
    </row>
    <row r="20" spans="2:15" x14ac:dyDescent="0.2">
      <c r="B20" s="17">
        <v>4</v>
      </c>
      <c r="C20" s="17" t="s">
        <v>33</v>
      </c>
      <c r="D20" s="17" t="s">
        <v>81</v>
      </c>
      <c r="E20" s="17" t="s">
        <v>42</v>
      </c>
      <c r="F20" s="17" t="s">
        <v>70</v>
      </c>
      <c r="G20" s="17" t="s">
        <v>71</v>
      </c>
      <c r="H20" s="17" t="s">
        <v>46</v>
      </c>
      <c r="I20" s="17"/>
      <c r="J20" s="17"/>
      <c r="K20" s="23"/>
      <c r="L20" s="23"/>
      <c r="M20" s="17"/>
      <c r="N20" s="18"/>
      <c r="O20" s="18"/>
    </row>
    <row r="21" spans="2:15" x14ac:dyDescent="0.2">
      <c r="B21" s="17">
        <v>4</v>
      </c>
      <c r="C21" s="17" t="s">
        <v>33</v>
      </c>
      <c r="D21" s="17" t="s">
        <v>34</v>
      </c>
      <c r="E21" s="17" t="s">
        <v>42</v>
      </c>
      <c r="F21" s="17" t="s">
        <v>70</v>
      </c>
      <c r="G21" s="17" t="s">
        <v>72</v>
      </c>
      <c r="H21" s="17" t="s">
        <v>46</v>
      </c>
      <c r="I21" s="17"/>
      <c r="J21" s="17"/>
      <c r="K21" s="23"/>
      <c r="L21" s="23"/>
      <c r="M21" s="17"/>
      <c r="N21" s="18"/>
      <c r="O21" s="18"/>
    </row>
    <row r="22" spans="2:15" x14ac:dyDescent="0.2">
      <c r="B22" s="17">
        <v>4</v>
      </c>
      <c r="C22" s="17" t="s">
        <v>33</v>
      </c>
      <c r="D22" s="17" t="s">
        <v>34</v>
      </c>
      <c r="E22" s="17" t="s">
        <v>42</v>
      </c>
      <c r="F22" s="17" t="s">
        <v>70</v>
      </c>
      <c r="G22" s="17" t="s">
        <v>73</v>
      </c>
      <c r="H22" s="17" t="s">
        <v>46</v>
      </c>
      <c r="I22" s="17"/>
      <c r="J22" s="17"/>
      <c r="K22" s="23"/>
      <c r="L22" s="23"/>
      <c r="M22" s="17"/>
      <c r="N22" s="18"/>
      <c r="O22" s="18"/>
    </row>
    <row r="23" spans="2:15" x14ac:dyDescent="0.2">
      <c r="B23" s="17">
        <v>5</v>
      </c>
      <c r="C23" s="17" t="s">
        <v>33</v>
      </c>
      <c r="D23" s="17" t="s">
        <v>78</v>
      </c>
      <c r="E23" s="17" t="s">
        <v>42</v>
      </c>
      <c r="F23" s="17" t="s">
        <v>82</v>
      </c>
      <c r="G23" s="17" t="s">
        <v>71</v>
      </c>
      <c r="H23" s="17" t="s">
        <v>46</v>
      </c>
      <c r="I23" s="17"/>
      <c r="J23" s="17"/>
      <c r="K23" s="23"/>
      <c r="L23" s="23"/>
      <c r="M23" s="17"/>
      <c r="N23" s="18"/>
      <c r="O23" s="18"/>
    </row>
  </sheetData>
  <dataValidations count="3">
    <dataValidation allowBlank="1" showInputMessage="1" showErrorMessage="1" promptTitle="Explicación" prompt="Se numeran los ciclos para indicar en qué funcionalidades se está trabajando" sqref="B6" xr:uid="{A30C3CB3-8DDE-4E69-A828-049369B45542}"/>
    <dataValidation type="list" allowBlank="1" showInputMessage="1" showErrorMessage="1" sqref="H7:I23" xr:uid="{B9A1EEB2-89AC-4ED5-ABDC-68A4E76A80E7}">
      <formula1>LI_Gen_Estado</formula1>
    </dataValidation>
    <dataValidation type="list" allowBlank="1" showInputMessage="1" showErrorMessage="1" sqref="E7:E23" xr:uid="{833CE941-34CC-4E28-9116-D00437F6C33F}">
      <formula1>LI_Gen_Accion_Desarrollo</formula1>
    </dataValidation>
  </dataValidations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E6C0B-0F78-464A-9FBD-7C7E82DA68B3}">
  <sheetPr codeName="Listados"/>
  <dimension ref="A1:K144"/>
  <sheetViews>
    <sheetView showGridLines="0" workbookViewId="0">
      <selection activeCell="B37" sqref="B37"/>
    </sheetView>
  </sheetViews>
  <sheetFormatPr baseColWidth="10" defaultRowHeight="12" x14ac:dyDescent="0.2"/>
  <cols>
    <col min="1" max="1" width="3.83203125" customWidth="1"/>
    <col min="2" max="4" width="4.83203125" customWidth="1"/>
    <col min="5" max="5" width="20.83203125" customWidth="1"/>
    <col min="6" max="7" width="18.83203125" customWidth="1"/>
    <col min="8" max="8" width="3.83203125" customWidth="1"/>
    <col min="9" max="11" width="25.83203125" customWidth="1"/>
  </cols>
  <sheetData>
    <row r="1" spans="2:11" ht="15" x14ac:dyDescent="0.2">
      <c r="B1" s="19" t="s">
        <v>43</v>
      </c>
    </row>
    <row r="4" spans="2:11" x14ac:dyDescent="0.2">
      <c r="B4" s="20" t="s">
        <v>44</v>
      </c>
      <c r="C4" s="20"/>
      <c r="D4" s="20"/>
      <c r="E4" s="20"/>
      <c r="F4" s="20"/>
      <c r="G4" s="20"/>
    </row>
    <row r="6" spans="2:11" x14ac:dyDescent="0.2">
      <c r="C6" s="21" t="s">
        <v>45</v>
      </c>
      <c r="D6" s="21"/>
      <c r="E6" s="21"/>
      <c r="F6" s="21"/>
      <c r="G6" s="21"/>
      <c r="H6" s="22"/>
      <c r="I6" s="21" t="s">
        <v>2</v>
      </c>
      <c r="J6" s="21"/>
      <c r="K6" s="21"/>
    </row>
    <row r="8" spans="2:11" x14ac:dyDescent="0.2">
      <c r="E8" t="s">
        <v>29</v>
      </c>
      <c r="I8" t="s">
        <v>50</v>
      </c>
    </row>
    <row r="9" spans="2:11" x14ac:dyDescent="0.2">
      <c r="E9" t="s">
        <v>46</v>
      </c>
    </row>
    <row r="10" spans="2:11" x14ac:dyDescent="0.2">
      <c r="E10" t="s">
        <v>36</v>
      </c>
    </row>
    <row r="11" spans="2:11" x14ac:dyDescent="0.2">
      <c r="E11" t="s">
        <v>47</v>
      </c>
    </row>
    <row r="12" spans="2:11" x14ac:dyDescent="0.2">
      <c r="E12" t="s">
        <v>48</v>
      </c>
    </row>
    <row r="13" spans="2:11" x14ac:dyDescent="0.2">
      <c r="E13" t="s">
        <v>49</v>
      </c>
    </row>
    <row r="15" spans="2:11" x14ac:dyDescent="0.2">
      <c r="C15" s="21" t="s">
        <v>51</v>
      </c>
      <c r="D15" s="21"/>
      <c r="E15" s="21"/>
      <c r="F15" s="21"/>
      <c r="G15" s="21"/>
    </row>
    <row r="17" spans="3:11" x14ac:dyDescent="0.2">
      <c r="E17" t="s">
        <v>51</v>
      </c>
      <c r="I17" t="s">
        <v>55</v>
      </c>
    </row>
    <row r="18" spans="3:11" x14ac:dyDescent="0.2">
      <c r="E18" t="s">
        <v>15</v>
      </c>
    </row>
    <row r="19" spans="3:11" x14ac:dyDescent="0.2">
      <c r="E19" t="s">
        <v>52</v>
      </c>
    </row>
    <row r="20" spans="3:11" x14ac:dyDescent="0.2">
      <c r="E20" t="s">
        <v>53</v>
      </c>
    </row>
    <row r="21" spans="3:11" x14ac:dyDescent="0.2">
      <c r="E21" t="s">
        <v>54</v>
      </c>
    </row>
    <row r="23" spans="3:11" x14ac:dyDescent="0.2">
      <c r="C23" s="21" t="s">
        <v>58</v>
      </c>
      <c r="D23" s="21"/>
      <c r="E23" s="21"/>
      <c r="F23" s="21"/>
      <c r="G23" s="21"/>
    </row>
    <row r="25" spans="3:11" x14ac:dyDescent="0.2">
      <c r="E25" t="s">
        <v>41</v>
      </c>
      <c r="I25" t="s">
        <v>61</v>
      </c>
    </row>
    <row r="26" spans="3:11" x14ac:dyDescent="0.2">
      <c r="E26" t="s">
        <v>42</v>
      </c>
    </row>
    <row r="27" spans="3:11" s="24" customFormat="1" x14ac:dyDescent="0.2">
      <c r="E27" s="24" t="s">
        <v>89</v>
      </c>
    </row>
    <row r="28" spans="3:11" x14ac:dyDescent="0.2">
      <c r="E28" t="s">
        <v>59</v>
      </c>
    </row>
    <row r="29" spans="3:11" x14ac:dyDescent="0.2">
      <c r="E29" t="s">
        <v>60</v>
      </c>
    </row>
    <row r="31" spans="3:11" x14ac:dyDescent="0.2">
      <c r="C31" s="21" t="s">
        <v>186</v>
      </c>
      <c r="D31" s="21"/>
      <c r="E31" s="21"/>
      <c r="F31" s="21"/>
      <c r="G31" s="21"/>
      <c r="H31" s="22"/>
      <c r="I31" s="21" t="s">
        <v>2</v>
      </c>
      <c r="J31" s="21"/>
      <c r="K31" s="21"/>
    </row>
    <row r="32" spans="3:11" x14ac:dyDescent="0.2">
      <c r="C32" s="22"/>
      <c r="D32" s="22"/>
      <c r="E32" s="22"/>
      <c r="F32" s="22"/>
      <c r="G32" s="22"/>
      <c r="H32" s="22"/>
      <c r="I32" s="22"/>
      <c r="J32" s="22"/>
      <c r="K32" s="22"/>
    </row>
    <row r="33" spans="1:11" x14ac:dyDescent="0.2">
      <c r="C33" s="22"/>
      <c r="D33" s="22"/>
      <c r="E33" s="35" t="s">
        <v>187</v>
      </c>
      <c r="F33" s="35" t="s">
        <v>180</v>
      </c>
      <c r="G33" s="22"/>
      <c r="H33" s="22"/>
      <c r="I33" s="22" t="s">
        <v>188</v>
      </c>
      <c r="J33" s="22"/>
      <c r="K33" s="22"/>
    </row>
    <row r="34" spans="1:11" x14ac:dyDescent="0.2">
      <c r="C34" s="22"/>
      <c r="D34" s="22"/>
      <c r="E34" s="37" t="s">
        <v>189</v>
      </c>
      <c r="F34" s="37">
        <v>-1</v>
      </c>
      <c r="G34" s="22"/>
      <c r="H34" s="22"/>
      <c r="I34" s="22" t="s">
        <v>190</v>
      </c>
      <c r="J34" s="22"/>
      <c r="K34" s="22"/>
    </row>
    <row r="35" spans="1:11" x14ac:dyDescent="0.2">
      <c r="C35" s="22"/>
      <c r="D35" s="22"/>
      <c r="E35" s="37" t="s">
        <v>191</v>
      </c>
      <c r="F35" s="37">
        <v>0</v>
      </c>
      <c r="G35" s="22"/>
      <c r="H35" s="22"/>
      <c r="I35" s="22" t="s">
        <v>192</v>
      </c>
      <c r="J35" s="22"/>
      <c r="K35" s="22"/>
    </row>
    <row r="36" spans="1:11" x14ac:dyDescent="0.2">
      <c r="C36" s="22"/>
      <c r="D36" s="22"/>
      <c r="E36" s="31"/>
      <c r="F36" s="31"/>
      <c r="G36" s="22"/>
      <c r="H36" s="22"/>
      <c r="I36" s="22"/>
      <c r="J36" s="22"/>
      <c r="K36" s="22"/>
    </row>
    <row r="37" spans="1:11" s="24" customFormat="1" x14ac:dyDescent="0.2">
      <c r="A37" s="22"/>
      <c r="B37" s="20" t="s">
        <v>202</v>
      </c>
      <c r="C37" s="20"/>
      <c r="D37" s="20"/>
      <c r="E37" s="20"/>
      <c r="F37" s="20"/>
      <c r="G37" s="20"/>
      <c r="H37" s="22"/>
      <c r="I37" s="22"/>
      <c r="J37" s="22"/>
      <c r="K37" s="22"/>
    </row>
    <row r="38" spans="1:11" s="24" customFormat="1" x14ac:dyDescent="0.2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</row>
    <row r="39" spans="1:11" x14ac:dyDescent="0.2">
      <c r="C39" s="21" t="s">
        <v>144</v>
      </c>
      <c r="D39" s="21"/>
      <c r="E39" s="21"/>
      <c r="F39" s="21"/>
      <c r="G39" s="21"/>
      <c r="H39" s="22"/>
      <c r="I39" s="21" t="s">
        <v>2</v>
      </c>
      <c r="J39" s="21"/>
      <c r="K39" s="21"/>
    </row>
    <row r="40" spans="1:11" x14ac:dyDescent="0.2">
      <c r="C40" s="22"/>
      <c r="D40" s="22"/>
      <c r="E40" s="22"/>
      <c r="F40" s="22"/>
      <c r="G40" s="22"/>
      <c r="H40" s="22"/>
      <c r="I40" s="22"/>
      <c r="J40" s="22"/>
      <c r="K40" s="22"/>
    </row>
    <row r="41" spans="1:11" x14ac:dyDescent="0.2">
      <c r="C41" s="22"/>
      <c r="D41" s="22"/>
      <c r="E41" s="35" t="s">
        <v>145</v>
      </c>
      <c r="F41" s="35" t="s">
        <v>146</v>
      </c>
      <c r="G41" s="35" t="s">
        <v>4</v>
      </c>
      <c r="H41" s="22"/>
      <c r="I41" s="22" t="s">
        <v>147</v>
      </c>
      <c r="J41" s="22" t="s">
        <v>148</v>
      </c>
      <c r="K41" s="22" t="s">
        <v>149</v>
      </c>
    </row>
    <row r="42" spans="1:11" x14ac:dyDescent="0.2">
      <c r="C42" s="22"/>
      <c r="D42" s="22"/>
      <c r="E42" s="37" t="s">
        <v>150</v>
      </c>
      <c r="F42" s="37" t="s">
        <v>150</v>
      </c>
      <c r="G42" s="37" t="s">
        <v>139</v>
      </c>
      <c r="H42" s="22"/>
      <c r="I42" s="22"/>
      <c r="J42" s="22"/>
      <c r="K42" s="22"/>
    </row>
    <row r="43" spans="1:11" x14ac:dyDescent="0.2">
      <c r="C43" s="22"/>
      <c r="D43" s="22"/>
      <c r="E43" s="37" t="s">
        <v>151</v>
      </c>
      <c r="F43" s="37" t="s">
        <v>151</v>
      </c>
      <c r="G43" s="37" t="s">
        <v>152</v>
      </c>
      <c r="H43" s="22"/>
      <c r="I43" s="22"/>
      <c r="J43" s="22"/>
      <c r="K43" s="22"/>
    </row>
    <row r="44" spans="1:11" x14ac:dyDescent="0.2">
      <c r="C44" s="22"/>
      <c r="D44" s="22"/>
      <c r="E44" s="37" t="s">
        <v>153</v>
      </c>
      <c r="F44" s="37" t="s">
        <v>153</v>
      </c>
      <c r="G44" s="37" t="s">
        <v>154</v>
      </c>
      <c r="H44" s="22"/>
      <c r="I44" s="22"/>
      <c r="J44" s="22"/>
      <c r="K44" s="22"/>
    </row>
    <row r="45" spans="1:11" x14ac:dyDescent="0.2">
      <c r="C45" s="22"/>
      <c r="D45" s="22"/>
      <c r="E45" s="37" t="s">
        <v>155</v>
      </c>
      <c r="F45" s="37" t="s">
        <v>155</v>
      </c>
      <c r="G45" s="37" t="s">
        <v>156</v>
      </c>
      <c r="H45" s="22"/>
      <c r="I45" s="22"/>
      <c r="J45" s="22"/>
      <c r="K45" s="22"/>
    </row>
    <row r="46" spans="1:11" x14ac:dyDescent="0.2">
      <c r="C46" s="22"/>
      <c r="D46" s="22"/>
      <c r="E46" s="37" t="s">
        <v>157</v>
      </c>
      <c r="F46" s="37" t="s">
        <v>157</v>
      </c>
      <c r="G46" s="37" t="s">
        <v>158</v>
      </c>
      <c r="H46" s="22"/>
      <c r="I46" s="22"/>
      <c r="J46" s="22"/>
      <c r="K46" s="22"/>
    </row>
    <row r="47" spans="1:11" x14ac:dyDescent="0.2">
      <c r="C47" s="22"/>
      <c r="D47" s="22"/>
      <c r="E47" s="37" t="s">
        <v>159</v>
      </c>
      <c r="F47" s="37" t="s">
        <v>159</v>
      </c>
      <c r="G47" s="37" t="s">
        <v>160</v>
      </c>
      <c r="H47" s="22"/>
      <c r="I47" s="22"/>
      <c r="J47" s="22"/>
      <c r="K47" s="22"/>
    </row>
    <row r="48" spans="1:11" x14ac:dyDescent="0.2">
      <c r="C48" s="22"/>
      <c r="D48" s="22"/>
      <c r="E48" s="37" t="s">
        <v>161</v>
      </c>
      <c r="F48" s="37" t="s">
        <v>161</v>
      </c>
      <c r="G48" s="37" t="s">
        <v>162</v>
      </c>
      <c r="H48" s="22"/>
      <c r="I48" s="22"/>
      <c r="J48" s="22"/>
      <c r="K48" s="22"/>
    </row>
    <row r="49" spans="1:11" x14ac:dyDescent="0.2">
      <c r="C49" s="22"/>
      <c r="D49" s="22"/>
      <c r="E49" s="37" t="s">
        <v>163</v>
      </c>
      <c r="F49" s="37" t="s">
        <v>163</v>
      </c>
      <c r="G49" s="37" t="s">
        <v>164</v>
      </c>
      <c r="H49" s="22"/>
      <c r="I49" s="22"/>
      <c r="J49" s="22"/>
      <c r="K49" s="22"/>
    </row>
    <row r="50" spans="1:11" x14ac:dyDescent="0.2">
      <c r="C50" s="22"/>
      <c r="D50" s="22"/>
      <c r="E50" s="37" t="s">
        <v>165</v>
      </c>
      <c r="F50" s="37" t="s">
        <v>165</v>
      </c>
      <c r="G50" s="37" t="s">
        <v>166</v>
      </c>
      <c r="H50" s="22"/>
      <c r="I50" s="22"/>
      <c r="J50" s="22"/>
      <c r="K50" s="22"/>
    </row>
    <row r="51" spans="1:11" x14ac:dyDescent="0.2">
      <c r="C51" s="22"/>
      <c r="D51" s="22"/>
      <c r="E51" s="37" t="s">
        <v>167</v>
      </c>
      <c r="F51" s="37" t="s">
        <v>167</v>
      </c>
      <c r="G51" s="37" t="s">
        <v>168</v>
      </c>
      <c r="H51" s="22"/>
      <c r="I51" s="22"/>
      <c r="J51" s="22"/>
      <c r="K51" s="22"/>
    </row>
    <row r="52" spans="1:11" x14ac:dyDescent="0.2">
      <c r="C52" s="22"/>
      <c r="D52" s="22"/>
      <c r="E52" s="37" t="s">
        <v>169</v>
      </c>
      <c r="F52" s="37" t="s">
        <v>169</v>
      </c>
      <c r="G52" s="37" t="s">
        <v>170</v>
      </c>
      <c r="H52" s="22"/>
      <c r="I52" s="22"/>
      <c r="J52" s="22"/>
      <c r="K52" s="22"/>
    </row>
    <row r="53" spans="1:11" x14ac:dyDescent="0.2">
      <c r="C53" s="22"/>
      <c r="D53" s="22"/>
      <c r="E53" s="37" t="s">
        <v>171</v>
      </c>
      <c r="F53" s="37" t="s">
        <v>171</v>
      </c>
      <c r="G53" s="37" t="s">
        <v>172</v>
      </c>
      <c r="H53" s="22"/>
      <c r="I53" s="22"/>
      <c r="J53" s="22"/>
      <c r="K53" s="22"/>
    </row>
    <row r="54" spans="1:11" x14ac:dyDescent="0.2">
      <c r="C54" s="22"/>
      <c r="D54" s="22"/>
      <c r="E54" s="37" t="s">
        <v>173</v>
      </c>
      <c r="F54" s="37" t="s">
        <v>173</v>
      </c>
      <c r="G54" s="37" t="s">
        <v>174</v>
      </c>
      <c r="H54" s="22"/>
      <c r="I54" s="22"/>
      <c r="J54" s="22"/>
      <c r="K54" s="22"/>
    </row>
    <row r="55" spans="1:11" x14ac:dyDescent="0.2">
      <c r="C55" s="22"/>
      <c r="D55" s="22"/>
      <c r="E55" s="37" t="s">
        <v>175</v>
      </c>
      <c r="F55" s="37" t="s">
        <v>175</v>
      </c>
      <c r="G55" s="37" t="s">
        <v>176</v>
      </c>
      <c r="H55" s="22"/>
      <c r="I55" s="22"/>
      <c r="J55" s="22"/>
      <c r="K55" s="22"/>
    </row>
    <row r="56" spans="1:11" x14ac:dyDescent="0.2">
      <c r="C56" s="22"/>
      <c r="D56" s="22"/>
      <c r="E56" s="37" t="s">
        <v>177</v>
      </c>
      <c r="F56" s="37" t="s">
        <v>177</v>
      </c>
      <c r="G56" s="37" t="s">
        <v>177</v>
      </c>
      <c r="H56" s="22"/>
      <c r="I56" s="22"/>
      <c r="J56" s="22"/>
      <c r="K56" s="22"/>
    </row>
    <row r="57" spans="1:11" x14ac:dyDescent="0.2">
      <c r="C57" s="22"/>
      <c r="D57" s="22"/>
      <c r="E57" s="31"/>
      <c r="F57" s="31"/>
      <c r="G57" s="31"/>
      <c r="H57" s="22"/>
      <c r="I57" s="22"/>
      <c r="J57" s="22"/>
      <c r="K57" s="22"/>
    </row>
    <row r="58" spans="1:11" x14ac:dyDescent="0.2">
      <c r="C58" s="22"/>
      <c r="D58" s="22"/>
      <c r="E58" s="31"/>
      <c r="F58" s="31"/>
      <c r="G58" s="31"/>
      <c r="H58" s="22"/>
      <c r="I58" s="22"/>
      <c r="J58" s="22"/>
      <c r="K58" s="22"/>
    </row>
    <row r="59" spans="1:11" x14ac:dyDescent="0.2">
      <c r="C59" s="22"/>
      <c r="D59" s="22"/>
      <c r="E59" s="31"/>
      <c r="F59" s="31"/>
      <c r="G59" s="31"/>
      <c r="H59" s="22"/>
      <c r="I59" s="22"/>
      <c r="J59" s="22"/>
      <c r="K59" s="22"/>
    </row>
    <row r="60" spans="1:11" x14ac:dyDescent="0.2">
      <c r="C60" s="22"/>
      <c r="D60" s="22"/>
      <c r="E60" s="31"/>
      <c r="F60" s="31"/>
      <c r="G60" s="31"/>
      <c r="H60" s="22"/>
      <c r="I60" s="22"/>
      <c r="J60" s="22"/>
      <c r="K60" s="22"/>
    </row>
    <row r="61" spans="1:11" x14ac:dyDescent="0.2">
      <c r="C61" s="22"/>
      <c r="D61" s="22"/>
      <c r="E61" s="31"/>
      <c r="F61" s="31"/>
      <c r="G61" s="31"/>
      <c r="H61" s="22"/>
      <c r="I61" s="22"/>
      <c r="J61" s="22"/>
      <c r="K61" s="22"/>
    </row>
    <row r="62" spans="1:11" s="24" customFormat="1" x14ac:dyDescent="0.2">
      <c r="A62" s="22"/>
      <c r="B62" s="20" t="s">
        <v>199</v>
      </c>
      <c r="C62" s="20"/>
      <c r="D62" s="20"/>
      <c r="E62" s="20"/>
      <c r="F62" s="20"/>
      <c r="G62" s="20"/>
      <c r="H62" s="22"/>
      <c r="I62" s="22"/>
      <c r="J62" s="22"/>
      <c r="K62" s="22"/>
    </row>
    <row r="63" spans="1:11" s="24" customFormat="1" x14ac:dyDescent="0.2">
      <c r="A63" s="22"/>
      <c r="B63" s="22"/>
      <c r="C63" s="22"/>
      <c r="D63" s="22"/>
      <c r="E63" s="22"/>
      <c r="F63" s="22"/>
      <c r="G63" s="22"/>
      <c r="H63" s="22"/>
      <c r="I63" s="22"/>
      <c r="J63" s="22"/>
      <c r="K63" s="22"/>
    </row>
    <row r="64" spans="1:11" x14ac:dyDescent="0.2">
      <c r="C64" s="21" t="s">
        <v>93</v>
      </c>
      <c r="D64" s="21"/>
      <c r="E64" s="21"/>
      <c r="F64" s="21"/>
      <c r="G64" s="21"/>
      <c r="H64" s="22"/>
      <c r="I64" s="21" t="s">
        <v>2</v>
      </c>
      <c r="J64" s="21"/>
      <c r="K64" s="21"/>
    </row>
    <row r="65" spans="3:11" x14ac:dyDescent="0.2">
      <c r="C65" s="22"/>
      <c r="D65" s="22"/>
      <c r="E65" s="22"/>
      <c r="F65" s="22"/>
      <c r="G65" s="22"/>
      <c r="H65" s="22"/>
      <c r="I65" s="22"/>
      <c r="J65" s="22"/>
      <c r="K65" s="22"/>
    </row>
    <row r="66" spans="3:11" x14ac:dyDescent="0.2">
      <c r="C66" s="22"/>
      <c r="D66" s="22"/>
      <c r="E66" s="32" t="s">
        <v>94</v>
      </c>
      <c r="F66" s="32" t="s">
        <v>95</v>
      </c>
      <c r="G66" s="29"/>
      <c r="H66" s="22"/>
      <c r="I66" s="22" t="s">
        <v>96</v>
      </c>
      <c r="J66" s="22" t="s">
        <v>97</v>
      </c>
      <c r="K66" s="22"/>
    </row>
    <row r="67" spans="3:11" x14ac:dyDescent="0.2">
      <c r="C67" s="22"/>
      <c r="D67" s="22"/>
      <c r="E67" s="33" t="s">
        <v>98</v>
      </c>
      <c r="F67" s="33">
        <v>1</v>
      </c>
      <c r="G67" s="30"/>
      <c r="H67" s="22"/>
      <c r="I67" s="22"/>
      <c r="J67" s="22"/>
      <c r="K67" s="22"/>
    </row>
    <row r="68" spans="3:11" x14ac:dyDescent="0.2">
      <c r="C68" s="22"/>
      <c r="D68" s="22"/>
      <c r="E68" s="33" t="s">
        <v>99</v>
      </c>
      <c r="F68" s="33">
        <v>2</v>
      </c>
      <c r="G68" s="30"/>
      <c r="H68" s="22"/>
      <c r="I68" s="22"/>
      <c r="J68" s="22"/>
      <c r="K68" s="22"/>
    </row>
    <row r="69" spans="3:11" x14ac:dyDescent="0.2">
      <c r="C69" s="22"/>
      <c r="D69" s="22"/>
      <c r="E69" s="33" t="s">
        <v>100</v>
      </c>
      <c r="F69" s="33">
        <v>3</v>
      </c>
      <c r="G69" s="30"/>
      <c r="H69" s="22"/>
      <c r="I69" s="22"/>
      <c r="J69" s="22"/>
      <c r="K69" s="22"/>
    </row>
    <row r="70" spans="3:11" x14ac:dyDescent="0.2">
      <c r="C70" s="22"/>
      <c r="D70" s="22"/>
      <c r="E70" s="33" t="s">
        <v>101</v>
      </c>
      <c r="F70" s="33">
        <v>4</v>
      </c>
      <c r="G70" s="30"/>
      <c r="H70" s="22"/>
      <c r="I70" s="22"/>
      <c r="J70" s="22"/>
      <c r="K70" s="22"/>
    </row>
    <row r="71" spans="3:11" x14ac:dyDescent="0.2">
      <c r="C71" s="22"/>
      <c r="D71" s="22"/>
      <c r="E71" s="33" t="s">
        <v>102</v>
      </c>
      <c r="F71" s="33">
        <v>5</v>
      </c>
      <c r="G71" s="30"/>
      <c r="H71" s="22"/>
      <c r="I71" s="22"/>
      <c r="J71" s="22"/>
      <c r="K71" s="22"/>
    </row>
    <row r="72" spans="3:11" x14ac:dyDescent="0.2">
      <c r="C72" s="22"/>
      <c r="D72" s="22"/>
      <c r="E72" s="33" t="s">
        <v>103</v>
      </c>
      <c r="F72" s="33">
        <v>6</v>
      </c>
      <c r="G72" s="30"/>
      <c r="H72" s="22"/>
      <c r="I72" s="22"/>
      <c r="J72" s="22"/>
      <c r="K72" s="22"/>
    </row>
    <row r="73" spans="3:11" x14ac:dyDescent="0.2">
      <c r="C73" s="22"/>
      <c r="D73" s="22"/>
      <c r="E73" s="33" t="s">
        <v>104</v>
      </c>
      <c r="F73" s="33">
        <v>7</v>
      </c>
      <c r="G73" s="30"/>
      <c r="H73" s="22"/>
      <c r="I73" s="22"/>
      <c r="J73" s="22"/>
      <c r="K73" s="22"/>
    </row>
    <row r="74" spans="3:11" x14ac:dyDescent="0.2">
      <c r="C74" s="22"/>
      <c r="D74" s="22"/>
      <c r="E74" s="33" t="s">
        <v>105</v>
      </c>
      <c r="F74" s="33">
        <v>8</v>
      </c>
      <c r="G74" s="30"/>
      <c r="H74" s="22"/>
      <c r="I74" s="22"/>
      <c r="J74" s="22"/>
      <c r="K74" s="22"/>
    </row>
    <row r="75" spans="3:11" x14ac:dyDescent="0.2">
      <c r="C75" s="22"/>
      <c r="D75" s="22"/>
      <c r="E75" s="33" t="s">
        <v>106</v>
      </c>
      <c r="F75" s="33">
        <v>9</v>
      </c>
      <c r="G75" s="30"/>
      <c r="H75" s="22"/>
      <c r="I75" s="22"/>
      <c r="J75" s="22"/>
      <c r="K75" s="22"/>
    </row>
    <row r="76" spans="3:11" x14ac:dyDescent="0.2">
      <c r="C76" s="22"/>
      <c r="D76" s="22"/>
      <c r="E76" s="33" t="s">
        <v>107</v>
      </c>
      <c r="F76" s="33">
        <v>10</v>
      </c>
      <c r="G76" s="30"/>
      <c r="H76" s="22"/>
      <c r="I76" s="22"/>
      <c r="J76" s="22"/>
      <c r="K76" s="22"/>
    </row>
    <row r="77" spans="3:11" x14ac:dyDescent="0.2">
      <c r="C77" s="22"/>
      <c r="D77" s="22"/>
      <c r="E77" s="33" t="s">
        <v>108</v>
      </c>
      <c r="F77" s="33">
        <v>11</v>
      </c>
      <c r="G77" s="30"/>
      <c r="H77" s="22"/>
      <c r="I77" s="22"/>
      <c r="J77" s="22"/>
      <c r="K77" s="22"/>
    </row>
    <row r="78" spans="3:11" x14ac:dyDescent="0.2">
      <c r="C78" s="22"/>
      <c r="D78" s="22"/>
      <c r="E78" s="33" t="s">
        <v>109</v>
      </c>
      <c r="F78" s="33">
        <v>12</v>
      </c>
      <c r="G78" s="30"/>
      <c r="H78" s="22"/>
      <c r="I78" s="22"/>
      <c r="J78" s="22"/>
      <c r="K78" s="22"/>
    </row>
    <row r="79" spans="3:11" x14ac:dyDescent="0.2">
      <c r="C79" s="22"/>
      <c r="D79" s="22"/>
      <c r="E79" s="31"/>
      <c r="F79" s="31"/>
      <c r="G79" s="22"/>
      <c r="H79" s="22"/>
      <c r="I79" s="22"/>
      <c r="J79" s="22"/>
      <c r="K79" s="22"/>
    </row>
    <row r="80" spans="3:11" x14ac:dyDescent="0.2">
      <c r="C80" s="22"/>
      <c r="D80" s="22"/>
      <c r="E80" s="22"/>
      <c r="F80" s="22"/>
      <c r="G80" s="22"/>
      <c r="H80" s="22"/>
      <c r="I80" s="22"/>
      <c r="J80" s="22"/>
      <c r="K80" s="22"/>
    </row>
    <row r="81" spans="3:11" x14ac:dyDescent="0.2">
      <c r="C81" s="21" t="s">
        <v>110</v>
      </c>
      <c r="D81" s="21"/>
      <c r="E81" s="21"/>
      <c r="F81" s="21"/>
      <c r="G81" s="21"/>
      <c r="H81" s="22"/>
      <c r="I81" s="21" t="s">
        <v>2</v>
      </c>
      <c r="J81" s="21"/>
      <c r="K81" s="21"/>
    </row>
    <row r="82" spans="3:11" x14ac:dyDescent="0.2">
      <c r="C82" s="22"/>
      <c r="D82" s="22"/>
      <c r="E82" s="22"/>
      <c r="F82" s="22"/>
      <c r="G82" s="22"/>
      <c r="H82" s="22"/>
      <c r="I82" s="22"/>
      <c r="J82" s="22"/>
      <c r="K82" s="22"/>
    </row>
    <row r="83" spans="3:11" x14ac:dyDescent="0.2">
      <c r="C83" s="22"/>
      <c r="D83" s="22"/>
      <c r="E83" s="32" t="s">
        <v>111</v>
      </c>
      <c r="F83" s="22"/>
      <c r="G83" s="22"/>
      <c r="H83" s="22"/>
      <c r="I83" s="22" t="s">
        <v>112</v>
      </c>
      <c r="J83" s="22"/>
      <c r="K83" s="22"/>
    </row>
    <row r="84" spans="3:11" x14ac:dyDescent="0.2">
      <c r="C84" s="22"/>
      <c r="D84" s="22"/>
      <c r="E84" s="34">
        <f>PA_Primer_Ano_Fin-ROWS(E$26:E84)+1</f>
        <v>-58</v>
      </c>
      <c r="F84" s="22"/>
      <c r="G84" s="22"/>
      <c r="H84" s="22"/>
      <c r="I84" s="22"/>
      <c r="J84" s="22"/>
      <c r="K84" s="22"/>
    </row>
    <row r="85" spans="3:11" x14ac:dyDescent="0.2">
      <c r="C85" s="22"/>
      <c r="D85" s="22"/>
      <c r="E85" s="34">
        <f>PA_Primer_Ano_Fin-ROWS(E$26:E85)+1</f>
        <v>-59</v>
      </c>
      <c r="F85" s="22"/>
      <c r="G85" s="22"/>
      <c r="H85" s="22"/>
      <c r="I85" s="22"/>
      <c r="J85" s="22"/>
      <c r="K85" s="22"/>
    </row>
    <row r="86" spans="3:11" x14ac:dyDescent="0.2">
      <c r="C86" s="22"/>
      <c r="D86" s="22"/>
      <c r="E86" s="31"/>
      <c r="F86" s="22"/>
      <c r="G86" s="22"/>
      <c r="H86" s="22"/>
      <c r="I86" s="22"/>
      <c r="J86" s="22"/>
      <c r="K86" s="22"/>
    </row>
    <row r="87" spans="3:11" x14ac:dyDescent="0.2">
      <c r="C87" s="21" t="s">
        <v>113</v>
      </c>
      <c r="D87" s="21"/>
      <c r="E87" s="21"/>
      <c r="F87" s="21"/>
      <c r="G87" s="21"/>
      <c r="H87" s="22"/>
      <c r="I87" s="21" t="s">
        <v>2</v>
      </c>
      <c r="J87" s="21"/>
      <c r="K87" s="21"/>
    </row>
    <row r="88" spans="3:11" x14ac:dyDescent="0.2">
      <c r="C88" s="22"/>
      <c r="D88" s="22"/>
      <c r="E88" s="22"/>
      <c r="F88" s="22"/>
      <c r="G88" s="22"/>
      <c r="H88" s="22"/>
      <c r="I88" s="22"/>
      <c r="J88" s="22"/>
      <c r="K88" s="22"/>
    </row>
    <row r="89" spans="3:11" x14ac:dyDescent="0.2">
      <c r="C89" s="22"/>
      <c r="D89" s="22"/>
      <c r="E89" s="35" t="s">
        <v>113</v>
      </c>
      <c r="F89" s="22"/>
      <c r="G89" s="22"/>
      <c r="H89" s="22"/>
      <c r="I89" s="22" t="s">
        <v>114</v>
      </c>
      <c r="J89" s="22"/>
      <c r="K89" s="22"/>
    </row>
    <row r="90" spans="3:11" x14ac:dyDescent="0.2">
      <c r="C90" s="22"/>
      <c r="D90" s="22"/>
      <c r="E90" s="36">
        <f>EDATE(DATE(PA_Primer_Ano_Fin,1,1),ROWS($E$65:E90)-PA_Primer_Ano_Hist)</f>
        <v>791</v>
      </c>
      <c r="F90" s="22"/>
      <c r="G90" s="22"/>
      <c r="H90" s="22"/>
      <c r="I90" s="22"/>
      <c r="J90" s="22"/>
      <c r="K90" s="22"/>
    </row>
    <row r="91" spans="3:11" x14ac:dyDescent="0.2">
      <c r="C91" s="22"/>
      <c r="D91" s="22"/>
      <c r="E91" s="36">
        <f>EDATE(DATE(PA_Primer_Ano_Fin,1,1),ROWS($E$65:E91)-PA_Primer_Ano_Hist)</f>
        <v>822</v>
      </c>
      <c r="F91" s="22"/>
      <c r="G91" s="22"/>
      <c r="H91" s="22"/>
      <c r="I91" s="22"/>
      <c r="J91" s="22"/>
      <c r="K91" s="22"/>
    </row>
    <row r="92" spans="3:11" x14ac:dyDescent="0.2">
      <c r="C92" s="22"/>
      <c r="D92" s="22"/>
      <c r="E92" s="36">
        <f>EDATE(DATE(PA_Primer_Ano_Fin,1,1),ROWS($E$65:E92)-PA_Primer_Ano_Hist)</f>
        <v>852</v>
      </c>
      <c r="F92" s="22"/>
      <c r="G92" s="22"/>
      <c r="H92" s="22"/>
      <c r="I92" s="22"/>
      <c r="J92" s="22"/>
      <c r="K92" s="22"/>
    </row>
    <row r="93" spans="3:11" x14ac:dyDescent="0.2">
      <c r="C93" s="22"/>
      <c r="D93" s="22"/>
      <c r="E93" s="36">
        <f>EDATE(DATE(PA_Primer_Ano_Fin,1,1),ROWS($E$65:E93)-PA_Primer_Ano_Hist)</f>
        <v>883</v>
      </c>
      <c r="F93" s="22"/>
      <c r="G93" s="22"/>
      <c r="H93" s="22"/>
      <c r="I93" s="22"/>
      <c r="J93" s="22"/>
      <c r="K93" s="22"/>
    </row>
    <row r="94" spans="3:11" x14ac:dyDescent="0.2">
      <c r="C94" s="22"/>
      <c r="D94" s="22"/>
      <c r="E94" s="36">
        <f>EDATE(DATE(PA_Primer_Ano_Fin,1,1),ROWS($E$65:E94)-PA_Primer_Ano_Hist)</f>
        <v>913</v>
      </c>
      <c r="F94" s="22"/>
      <c r="G94" s="22"/>
      <c r="H94" s="22"/>
      <c r="I94" s="22"/>
      <c r="J94" s="22"/>
      <c r="K94" s="22"/>
    </row>
    <row r="95" spans="3:11" x14ac:dyDescent="0.2">
      <c r="C95" s="22"/>
      <c r="D95" s="22"/>
      <c r="E95" s="36">
        <f>EDATE(DATE(PA_Primer_Ano_Fin,1,1),ROWS($E$65:E95)-PA_Primer_Ano_Hist)</f>
        <v>944</v>
      </c>
      <c r="F95" s="22"/>
      <c r="G95" s="22"/>
      <c r="H95" s="22"/>
      <c r="I95" s="22"/>
      <c r="J95" s="22"/>
      <c r="K95" s="22"/>
    </row>
    <row r="96" spans="3:11" x14ac:dyDescent="0.2">
      <c r="C96" s="22"/>
      <c r="D96" s="22"/>
      <c r="E96" s="36">
        <f>EDATE(DATE(PA_Primer_Ano_Fin,1,1),ROWS($E$65:E96)-PA_Primer_Ano_Hist)</f>
        <v>975</v>
      </c>
      <c r="F96" s="22"/>
      <c r="G96" s="22"/>
      <c r="H96" s="22"/>
      <c r="I96" s="22"/>
      <c r="J96" s="22"/>
      <c r="K96" s="22"/>
    </row>
    <row r="97" spans="1:11" x14ac:dyDescent="0.2">
      <c r="C97" s="22"/>
      <c r="D97" s="22"/>
      <c r="E97" s="36">
        <f>EDATE(DATE(PA_Primer_Ano_Fin,1,1),ROWS($E$65:E97)-PA_Primer_Ano_Hist)</f>
        <v>1005</v>
      </c>
      <c r="F97" s="22"/>
      <c r="G97" s="22"/>
      <c r="H97" s="22"/>
      <c r="I97" s="22"/>
      <c r="J97" s="22"/>
      <c r="K97" s="22"/>
    </row>
    <row r="98" spans="1:11" x14ac:dyDescent="0.2">
      <c r="C98" s="22"/>
      <c r="D98" s="22"/>
      <c r="E98" s="36">
        <f>EDATE(DATE(PA_Primer_Ano_Fin,1,1),ROWS($E$65:E98)-PA_Primer_Ano_Hist)</f>
        <v>1036</v>
      </c>
      <c r="F98" s="22"/>
      <c r="G98" s="22"/>
      <c r="H98" s="22"/>
      <c r="I98" s="22"/>
      <c r="J98" s="22"/>
      <c r="K98" s="22"/>
    </row>
    <row r="99" spans="1:11" x14ac:dyDescent="0.2">
      <c r="C99" s="22"/>
      <c r="D99" s="22"/>
      <c r="E99" s="36">
        <f>EDATE(DATE(PA_Primer_Ano_Fin,1,1),ROWS($E$65:E99)-PA_Primer_Ano_Hist)</f>
        <v>1066</v>
      </c>
      <c r="F99" s="22"/>
      <c r="G99" s="22"/>
      <c r="H99" s="22"/>
      <c r="I99" s="22"/>
      <c r="J99" s="22"/>
      <c r="K99" s="22"/>
    </row>
    <row r="100" spans="1:11" x14ac:dyDescent="0.2">
      <c r="C100" s="22"/>
      <c r="D100" s="22"/>
      <c r="E100" s="36">
        <f>EDATE(DATE(PA_Primer_Ano_Fin,1,1),ROWS($E$65:E100)-PA_Primer_Ano_Hist)</f>
        <v>1097</v>
      </c>
      <c r="F100" s="22"/>
      <c r="G100" s="22"/>
      <c r="H100" s="22"/>
      <c r="I100" s="22"/>
      <c r="J100" s="22"/>
      <c r="K100" s="22"/>
    </row>
    <row r="101" spans="1:11" x14ac:dyDescent="0.2">
      <c r="C101" s="22"/>
      <c r="D101" s="22"/>
      <c r="E101" s="36">
        <f>EDATE(DATE(PA_Primer_Ano_Fin,1,1),ROWS($E$65:E101)-PA_Primer_Ano_Hist)</f>
        <v>1128</v>
      </c>
      <c r="F101" s="22"/>
      <c r="G101" s="22"/>
      <c r="H101" s="22"/>
      <c r="I101" s="22"/>
      <c r="J101" s="22"/>
      <c r="K101" s="22"/>
    </row>
    <row r="102" spans="1:11" x14ac:dyDescent="0.2">
      <c r="C102" s="22"/>
      <c r="D102" s="22"/>
      <c r="E102" s="31"/>
      <c r="F102" s="22"/>
      <c r="G102" s="22"/>
      <c r="H102" s="22"/>
      <c r="I102" s="22"/>
      <c r="J102" s="22"/>
      <c r="K102" s="22"/>
    </row>
    <row r="103" spans="1:11" x14ac:dyDescent="0.2">
      <c r="C103" s="21" t="s">
        <v>115</v>
      </c>
      <c r="D103" s="21"/>
      <c r="E103" s="21"/>
      <c r="F103" s="21"/>
      <c r="G103" s="21"/>
      <c r="H103" s="22"/>
      <c r="I103" s="21" t="s">
        <v>2</v>
      </c>
      <c r="J103" s="21"/>
      <c r="K103" s="21"/>
    </row>
    <row r="104" spans="1:11" x14ac:dyDescent="0.2">
      <c r="C104" s="22"/>
      <c r="D104" s="22"/>
      <c r="E104" s="22"/>
      <c r="F104" s="22"/>
      <c r="G104" s="22"/>
      <c r="H104" s="22"/>
      <c r="I104" s="22"/>
      <c r="J104" s="22"/>
      <c r="K104" s="22"/>
    </row>
    <row r="105" spans="1:11" x14ac:dyDescent="0.2">
      <c r="C105" s="22"/>
      <c r="D105" s="22"/>
      <c r="E105" s="35" t="s">
        <v>116</v>
      </c>
      <c r="F105" s="22"/>
      <c r="G105" s="22"/>
      <c r="H105" s="22"/>
      <c r="I105" s="22"/>
      <c r="J105" s="22"/>
      <c r="K105" s="22"/>
    </row>
    <row r="106" spans="1:11" x14ac:dyDescent="0.2">
      <c r="C106" s="22"/>
      <c r="D106" s="22"/>
      <c r="E106" s="37">
        <v>12</v>
      </c>
      <c r="F106" s="22"/>
      <c r="G106" s="22"/>
      <c r="H106" s="22"/>
      <c r="I106" s="22" t="s">
        <v>117</v>
      </c>
      <c r="J106" s="22"/>
      <c r="K106" s="22"/>
    </row>
    <row r="107" spans="1:11" x14ac:dyDescent="0.2">
      <c r="C107" s="22"/>
      <c r="D107" s="22"/>
      <c r="E107" s="37">
        <v>360</v>
      </c>
      <c r="F107" s="22"/>
      <c r="G107" s="22"/>
      <c r="H107" s="22"/>
      <c r="I107" s="22" t="s">
        <v>118</v>
      </c>
      <c r="J107" s="22"/>
      <c r="K107" s="22"/>
    </row>
    <row r="108" spans="1:11" x14ac:dyDescent="0.2">
      <c r="C108" s="22"/>
      <c r="D108" s="22"/>
      <c r="E108" s="31"/>
      <c r="F108" s="22"/>
      <c r="G108" s="22"/>
      <c r="H108" s="22"/>
      <c r="I108" s="22"/>
      <c r="J108" s="22"/>
      <c r="K108" s="22"/>
    </row>
    <row r="109" spans="1:11" s="24" customFormat="1" x14ac:dyDescent="0.2">
      <c r="A109" s="22"/>
      <c r="B109" s="20" t="s">
        <v>201</v>
      </c>
      <c r="C109" s="20"/>
      <c r="D109" s="20"/>
      <c r="E109" s="20"/>
      <c r="F109" s="20"/>
      <c r="G109" s="20"/>
      <c r="H109" s="22"/>
      <c r="I109" s="22"/>
      <c r="J109" s="22"/>
      <c r="K109" s="22"/>
    </row>
    <row r="110" spans="1:11" s="24" customFormat="1" x14ac:dyDescent="0.2">
      <c r="A110" s="22"/>
      <c r="B110" s="22"/>
      <c r="C110" s="22"/>
      <c r="D110" s="22"/>
      <c r="E110" s="22"/>
      <c r="F110" s="22"/>
      <c r="G110" s="22"/>
      <c r="H110" s="22"/>
      <c r="I110" s="22"/>
      <c r="J110" s="22"/>
      <c r="K110" s="22"/>
    </row>
    <row r="111" spans="1:11" x14ac:dyDescent="0.2">
      <c r="C111" s="21" t="s">
        <v>119</v>
      </c>
      <c r="D111" s="21"/>
      <c r="E111" s="21"/>
      <c r="F111" s="21"/>
      <c r="G111" s="21"/>
      <c r="H111" s="22"/>
      <c r="I111" s="21" t="s">
        <v>2</v>
      </c>
      <c r="J111" s="21"/>
      <c r="K111" s="21"/>
    </row>
    <row r="112" spans="1:11" x14ac:dyDescent="0.2">
      <c r="C112" s="22"/>
      <c r="D112" s="22"/>
      <c r="E112" s="22"/>
      <c r="F112" s="22"/>
      <c r="G112" s="22"/>
      <c r="H112" s="22"/>
      <c r="I112" s="22"/>
      <c r="J112" s="22"/>
      <c r="K112" s="22"/>
    </row>
    <row r="113" spans="3:11" x14ac:dyDescent="0.2">
      <c r="C113" s="22"/>
      <c r="D113" s="22"/>
      <c r="E113" s="32" t="s">
        <v>120</v>
      </c>
      <c r="F113" s="32" t="s">
        <v>121</v>
      </c>
      <c r="G113" s="32" t="s">
        <v>122</v>
      </c>
      <c r="H113" s="22"/>
      <c r="I113" s="22" t="s">
        <v>123</v>
      </c>
      <c r="J113" s="22" t="s">
        <v>124</v>
      </c>
      <c r="K113" s="22" t="s">
        <v>200</v>
      </c>
    </row>
    <row r="114" spans="3:11" x14ac:dyDescent="0.2">
      <c r="C114" s="22"/>
      <c r="D114" s="22"/>
      <c r="E114" s="38">
        <v>1</v>
      </c>
      <c r="F114" s="38" t="s">
        <v>125</v>
      </c>
      <c r="G114" s="39" t="s">
        <v>126</v>
      </c>
      <c r="H114" s="22"/>
      <c r="I114" s="22"/>
      <c r="J114" s="22"/>
      <c r="K114" s="22"/>
    </row>
    <row r="115" spans="3:11" x14ac:dyDescent="0.2">
      <c r="C115" s="22"/>
      <c r="D115" s="22"/>
      <c r="E115" s="38">
        <v>1000</v>
      </c>
      <c r="F115" s="38" t="s">
        <v>127</v>
      </c>
      <c r="G115" s="39" t="s">
        <v>128</v>
      </c>
      <c r="H115" s="22"/>
      <c r="I115" s="22"/>
      <c r="J115" s="22"/>
      <c r="K115" s="22"/>
    </row>
    <row r="116" spans="3:11" x14ac:dyDescent="0.2">
      <c r="C116" s="22"/>
      <c r="D116" s="22"/>
      <c r="E116" s="38">
        <v>1000000</v>
      </c>
      <c r="F116" s="38" t="s">
        <v>129</v>
      </c>
      <c r="G116" s="39" t="s">
        <v>130</v>
      </c>
      <c r="H116" s="22"/>
      <c r="I116" s="22"/>
      <c r="J116" s="22"/>
      <c r="K116" s="22"/>
    </row>
    <row r="117" spans="3:11" x14ac:dyDescent="0.2">
      <c r="C117" s="22"/>
      <c r="D117" s="22"/>
      <c r="E117" s="38">
        <v>1000000000</v>
      </c>
      <c r="F117" s="38" t="s">
        <v>131</v>
      </c>
      <c r="G117" s="39" t="s">
        <v>132</v>
      </c>
      <c r="H117" s="22"/>
      <c r="I117" s="22"/>
      <c r="J117" s="22"/>
      <c r="K117" s="22"/>
    </row>
    <row r="118" spans="3:11" x14ac:dyDescent="0.2">
      <c r="C118" s="22"/>
      <c r="D118" s="22"/>
      <c r="E118" s="31"/>
      <c r="F118" s="31"/>
      <c r="G118" s="31"/>
      <c r="H118" s="22"/>
      <c r="I118" s="22"/>
      <c r="J118" s="22"/>
      <c r="K118" s="22"/>
    </row>
    <row r="119" spans="3:11" x14ac:dyDescent="0.2">
      <c r="C119" s="21" t="s">
        <v>133</v>
      </c>
      <c r="D119" s="21"/>
      <c r="E119" s="21"/>
      <c r="F119" s="21"/>
      <c r="G119" s="21"/>
      <c r="H119" s="22"/>
      <c r="I119" s="21" t="s">
        <v>2</v>
      </c>
      <c r="J119" s="21"/>
      <c r="K119" s="21"/>
    </row>
    <row r="120" spans="3:11" x14ac:dyDescent="0.2">
      <c r="C120" s="22"/>
      <c r="D120" s="22"/>
      <c r="E120" s="22"/>
      <c r="F120" s="22"/>
      <c r="G120" s="22"/>
      <c r="H120" s="22"/>
      <c r="I120" s="22"/>
      <c r="J120" s="22"/>
      <c r="K120" s="22"/>
    </row>
    <row r="121" spans="3:11" x14ac:dyDescent="0.2">
      <c r="C121" s="22"/>
      <c r="D121" s="22"/>
      <c r="E121" s="35" t="s">
        <v>134</v>
      </c>
      <c r="F121" s="22"/>
      <c r="G121" s="22"/>
      <c r="H121" s="22"/>
      <c r="I121" s="22" t="s">
        <v>135</v>
      </c>
      <c r="J121" s="22"/>
      <c r="K121" s="22"/>
    </row>
    <row r="122" spans="3:11" x14ac:dyDescent="0.2">
      <c r="C122" s="22"/>
      <c r="D122" s="22"/>
      <c r="E122" s="37" t="s">
        <v>136</v>
      </c>
      <c r="F122" s="22"/>
      <c r="G122" s="22"/>
      <c r="H122" s="22"/>
      <c r="I122" s="22"/>
      <c r="J122" s="22"/>
      <c r="K122" s="22"/>
    </row>
    <row r="123" spans="3:11" x14ac:dyDescent="0.2">
      <c r="C123" s="22"/>
      <c r="D123" s="22"/>
      <c r="E123" s="37" t="s">
        <v>137</v>
      </c>
      <c r="F123" s="22"/>
      <c r="G123" s="22"/>
      <c r="H123" s="22"/>
      <c r="I123" s="22"/>
      <c r="J123" s="22"/>
      <c r="K123" s="22"/>
    </row>
    <row r="124" spans="3:11" x14ac:dyDescent="0.2">
      <c r="C124" s="22"/>
      <c r="D124" s="22"/>
      <c r="E124" s="37" t="s">
        <v>138</v>
      </c>
      <c r="F124" s="22"/>
      <c r="G124" s="22"/>
      <c r="H124" s="22"/>
      <c r="I124" s="22"/>
      <c r="J124" s="22"/>
      <c r="K124" s="22"/>
    </row>
    <row r="125" spans="3:11" x14ac:dyDescent="0.2">
      <c r="C125" s="22"/>
      <c r="D125" s="22"/>
      <c r="E125" s="37" t="s">
        <v>139</v>
      </c>
      <c r="F125" s="22"/>
      <c r="G125" s="22"/>
      <c r="H125" s="22"/>
      <c r="I125" s="22"/>
      <c r="J125" s="22"/>
      <c r="K125" s="22"/>
    </row>
    <row r="126" spans="3:11" x14ac:dyDescent="0.2">
      <c r="C126" s="22"/>
      <c r="D126" s="22"/>
      <c r="E126" s="31"/>
      <c r="F126" s="22"/>
      <c r="G126" s="22"/>
      <c r="H126" s="22"/>
      <c r="I126" s="22"/>
      <c r="J126" s="22"/>
      <c r="K126" s="22"/>
    </row>
    <row r="127" spans="3:11" x14ac:dyDescent="0.2">
      <c r="C127" s="21" t="s">
        <v>140</v>
      </c>
      <c r="D127" s="21"/>
      <c r="E127" s="21"/>
      <c r="F127" s="21"/>
      <c r="G127" s="21"/>
      <c r="H127" s="22"/>
      <c r="I127" s="21" t="s">
        <v>2</v>
      </c>
      <c r="J127" s="21"/>
      <c r="K127" s="21"/>
    </row>
    <row r="128" spans="3:11" x14ac:dyDescent="0.2">
      <c r="C128" s="22"/>
      <c r="D128" s="22"/>
      <c r="E128" s="22"/>
      <c r="F128" s="22"/>
      <c r="G128" s="22"/>
      <c r="H128" s="22"/>
      <c r="I128" s="22"/>
      <c r="J128" s="22"/>
      <c r="K128" s="22"/>
    </row>
    <row r="129" spans="3:11" x14ac:dyDescent="0.2">
      <c r="C129" s="22"/>
      <c r="D129" s="22"/>
      <c r="E129" s="35" t="s">
        <v>9</v>
      </c>
      <c r="F129" s="22"/>
      <c r="G129" s="22"/>
      <c r="H129" s="22"/>
      <c r="I129" s="22" t="s">
        <v>141</v>
      </c>
      <c r="J129" s="22"/>
      <c r="K129" s="22"/>
    </row>
    <row r="130" spans="3:11" x14ac:dyDescent="0.2">
      <c r="C130" s="22"/>
      <c r="D130" s="22"/>
      <c r="E130" s="37" t="s">
        <v>142</v>
      </c>
      <c r="F130" s="22"/>
      <c r="G130" s="22"/>
      <c r="H130" s="22"/>
      <c r="I130" s="22"/>
      <c r="J130" s="22"/>
      <c r="K130" s="22"/>
    </row>
    <row r="131" spans="3:11" x14ac:dyDescent="0.2">
      <c r="C131" s="22"/>
      <c r="D131" s="22"/>
      <c r="E131" s="37" t="s">
        <v>143</v>
      </c>
      <c r="F131" s="22"/>
      <c r="G131" s="22"/>
      <c r="H131" s="22"/>
      <c r="I131" s="22"/>
      <c r="J131" s="22"/>
      <c r="K131" s="22"/>
    </row>
    <row r="132" spans="3:11" x14ac:dyDescent="0.2">
      <c r="C132" s="22"/>
      <c r="D132" s="22"/>
      <c r="E132" s="31"/>
      <c r="F132" s="22"/>
      <c r="G132" s="22"/>
      <c r="H132" s="22"/>
      <c r="I132" s="22"/>
      <c r="J132" s="22"/>
      <c r="K132" s="22"/>
    </row>
    <row r="133" spans="3:11" x14ac:dyDescent="0.2">
      <c r="C133" s="21" t="s">
        <v>178</v>
      </c>
      <c r="D133" s="21"/>
      <c r="E133" s="21"/>
      <c r="F133" s="21"/>
      <c r="G133" s="21"/>
      <c r="H133" s="22"/>
      <c r="I133" s="21" t="s">
        <v>2</v>
      </c>
      <c r="J133" s="21"/>
      <c r="K133" s="21"/>
    </row>
    <row r="134" spans="3:11" x14ac:dyDescent="0.2">
      <c r="C134" s="22"/>
      <c r="D134" s="22"/>
      <c r="E134" s="22"/>
      <c r="F134" s="22"/>
      <c r="G134" s="22"/>
      <c r="H134" s="22"/>
      <c r="I134" s="22"/>
      <c r="J134" s="22"/>
      <c r="K134" s="22"/>
    </row>
    <row r="135" spans="3:11" x14ac:dyDescent="0.2">
      <c r="C135" s="22"/>
      <c r="D135" s="22"/>
      <c r="E135" s="35" t="s">
        <v>179</v>
      </c>
      <c r="F135" s="35" t="s">
        <v>180</v>
      </c>
      <c r="G135" s="22"/>
      <c r="H135" s="22"/>
      <c r="I135" s="22" t="s">
        <v>181</v>
      </c>
      <c r="J135" s="22"/>
      <c r="K135" s="22"/>
    </row>
    <row r="136" spans="3:11" x14ac:dyDescent="0.2">
      <c r="C136" s="22"/>
      <c r="D136" s="22"/>
      <c r="E136" s="37" t="s">
        <v>182</v>
      </c>
      <c r="F136" s="37">
        <v>0</v>
      </c>
      <c r="G136" s="22"/>
      <c r="H136" s="22"/>
      <c r="I136" s="22" t="s">
        <v>183</v>
      </c>
      <c r="J136" s="22"/>
      <c r="K136" s="22"/>
    </row>
    <row r="137" spans="3:11" x14ac:dyDescent="0.2">
      <c r="C137" s="22"/>
      <c r="D137" s="22"/>
      <c r="E137" s="37" t="s">
        <v>184</v>
      </c>
      <c r="F137" s="37">
        <v>1</v>
      </c>
      <c r="G137" s="22"/>
      <c r="H137" s="22"/>
      <c r="I137" s="22" t="s">
        <v>185</v>
      </c>
      <c r="J137" s="22"/>
      <c r="K137" s="22"/>
    </row>
    <row r="138" spans="3:11" x14ac:dyDescent="0.2">
      <c r="C138" s="22"/>
      <c r="D138" s="22"/>
      <c r="E138" s="31"/>
      <c r="F138" s="31"/>
      <c r="G138" s="22"/>
      <c r="H138" s="22"/>
      <c r="I138" s="22"/>
      <c r="J138" s="22"/>
      <c r="K138" s="22"/>
    </row>
    <row r="139" spans="3:11" x14ac:dyDescent="0.2">
      <c r="C139" s="21" t="s">
        <v>193</v>
      </c>
      <c r="D139" s="21"/>
      <c r="E139" s="21"/>
      <c r="F139" s="21"/>
      <c r="G139" s="21"/>
      <c r="H139" s="22"/>
      <c r="I139" s="21" t="s">
        <v>2</v>
      </c>
      <c r="J139" s="21"/>
      <c r="K139" s="21"/>
    </row>
    <row r="140" spans="3:11" x14ac:dyDescent="0.2">
      <c r="C140" s="22"/>
      <c r="D140" s="22"/>
      <c r="E140" s="22"/>
      <c r="F140" s="22"/>
      <c r="G140" s="22"/>
      <c r="H140" s="22"/>
      <c r="I140" s="22"/>
      <c r="J140" s="22"/>
      <c r="K140" s="22"/>
    </row>
    <row r="141" spans="3:11" x14ac:dyDescent="0.2">
      <c r="C141" s="22"/>
      <c r="D141" s="22"/>
      <c r="E141" s="35" t="s">
        <v>194</v>
      </c>
      <c r="F141" s="22"/>
      <c r="G141" s="22"/>
      <c r="H141" s="22"/>
      <c r="I141" s="22"/>
      <c r="J141" s="22"/>
      <c r="K141" s="22"/>
    </row>
    <row r="142" spans="3:11" x14ac:dyDescent="0.2">
      <c r="C142" s="22"/>
      <c r="D142" s="22"/>
      <c r="E142" s="37" t="s">
        <v>195</v>
      </c>
      <c r="F142" s="22"/>
      <c r="G142" s="22"/>
      <c r="H142" s="22"/>
      <c r="I142" s="22" t="s">
        <v>196</v>
      </c>
      <c r="J142" s="22"/>
      <c r="K142" s="22"/>
    </row>
    <row r="143" spans="3:11" x14ac:dyDescent="0.2">
      <c r="C143" s="22"/>
      <c r="D143" s="22"/>
      <c r="E143" s="37" t="s">
        <v>197</v>
      </c>
      <c r="F143" s="22"/>
      <c r="G143" s="22"/>
      <c r="H143" s="22"/>
      <c r="I143" s="22" t="s">
        <v>198</v>
      </c>
      <c r="J143" s="22"/>
      <c r="K143" s="22"/>
    </row>
    <row r="144" spans="3:11" x14ac:dyDescent="0.2">
      <c r="C144" s="24"/>
      <c r="D144" s="24"/>
      <c r="E144" s="31"/>
      <c r="F144" s="24"/>
      <c r="G144" s="24"/>
      <c r="H144" s="24"/>
      <c r="I144" s="24"/>
      <c r="J144" s="24"/>
      <c r="K144" s="24"/>
    </row>
  </sheetData>
  <pageMargins left="0.7" right="0.7" top="0.75" bottom="0.75" header="0.3" footer="0.3"/>
  <legacyDrawing r:id="rId1"/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8AD7C-B3B5-42C5-AD9D-984894A64CB7}">
  <sheetPr codeName="Blanco"/>
  <dimension ref="A1"/>
  <sheetViews>
    <sheetView showGridLines="0" workbookViewId="0"/>
  </sheetViews>
  <sheetFormatPr baseColWidth="10" defaultRowHeight="12" x14ac:dyDescent="0.2"/>
  <cols>
    <col min="1" max="1" width="3.832031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36</vt:i4>
      </vt:variant>
    </vt:vector>
  </HeadingPairs>
  <TitlesOfParts>
    <vt:vector size="41" baseType="lpstr">
      <vt:lpstr>Portada</vt:lpstr>
      <vt:lpstr>Parametros</vt:lpstr>
      <vt:lpstr>Bitacora</vt:lpstr>
      <vt:lpstr>Listados</vt:lpstr>
      <vt:lpstr>Blanco</vt:lpstr>
      <vt:lpstr>LI_Conce_Indic</vt:lpstr>
      <vt:lpstr>LI_Denom_Conv</vt:lpstr>
      <vt:lpstr>LI_Descrip_Conv</vt:lpstr>
      <vt:lpstr>LI_Dias_En_Ano</vt:lpstr>
      <vt:lpstr>LI_Fact_Conv</vt:lpstr>
      <vt:lpstr>Parametros!LI_Gen_Accion_Desarrollo</vt:lpstr>
      <vt:lpstr>LI_Gen_Accion_Desarrollo</vt:lpstr>
      <vt:lpstr>Parametros!LI_Gen_Estado</vt:lpstr>
      <vt:lpstr>LI_Gen_Estado</vt:lpstr>
      <vt:lpstr>Parametros!LI_Gen_Tipo_Version</vt:lpstr>
      <vt:lpstr>LI_Gen_Tipo_Version</vt:lpstr>
      <vt:lpstr>LI_Meses_En_Ano</vt:lpstr>
      <vt:lpstr>LI_Modalidad_Anticipada</vt:lpstr>
      <vt:lpstr>LI_Modalidad_InteresCapital</vt:lpstr>
      <vt:lpstr>LI_Modalidad_Vencida</vt:lpstr>
      <vt:lpstr>LI_Modulo_Nombre</vt:lpstr>
      <vt:lpstr>LI_Modulo_NombreVBA</vt:lpstr>
      <vt:lpstr>LI_Modulo_Titulo</vt:lpstr>
      <vt:lpstr>LI_Opcion_No</vt:lpstr>
      <vt:lpstr>LI_Opcion_Si</vt:lpstr>
      <vt:lpstr>LI_Opcion_SiNo</vt:lpstr>
      <vt:lpstr>LI_ST_Meses_Historicos</vt:lpstr>
      <vt:lpstr>LI_ST_Meses_Nombres</vt:lpstr>
      <vt:lpstr>LI_ST_Meses_Numeros</vt:lpstr>
      <vt:lpstr>LI_ST_Primer_Ano_Hist</vt:lpstr>
      <vt:lpstr>LI_Tipo_Cuenta_PUC</vt:lpstr>
      <vt:lpstr>LI_TipoCredito_CortoPlazo</vt:lpstr>
      <vt:lpstr>LI_TipoCredito_LargoPlazo</vt:lpstr>
      <vt:lpstr>MO_Version_Comentarios</vt:lpstr>
      <vt:lpstr>MO_Version_Fecha</vt:lpstr>
      <vt:lpstr>MO_Version_Numero</vt:lpstr>
      <vt:lpstr>MO_Version_Parche_Numero</vt:lpstr>
      <vt:lpstr>MO_Version_Secundaria_Numero</vt:lpstr>
      <vt:lpstr>MO_Version_Tipo</vt:lpstr>
      <vt:lpstr>PA_Primer_Ano_Fin</vt:lpstr>
      <vt:lpstr>PA_Primer_Ano_Hist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Diaz</dc:creator>
  <cp:lastModifiedBy>Ricardo Diaz</cp:lastModifiedBy>
  <dcterms:created xsi:type="dcterms:W3CDTF">2019-09-09T19:50:56Z</dcterms:created>
  <dcterms:modified xsi:type="dcterms:W3CDTF">2019-09-10T18:01:24Z</dcterms:modified>
</cp:coreProperties>
</file>